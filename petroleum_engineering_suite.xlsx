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2.xml" ContentType="application/vnd.openxmlformats-officedocument.drawing+xml"/>
  <Override PartName="/xl/worksheets/sheet16.xml" ContentType="application/vnd.openxmlformats-officedocument.spreadsheetml.worksheet+xml"/>
  <Override PartName="/xl/drawings/drawing3.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drawings/drawing6.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drawings/drawing7.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drawings/drawing8.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Well Data" sheetId="2" state="visible" r:id="rId2"/>
    <sheet name="Tubular Library" sheetId="3" state="visible" r:id="rId3"/>
    <sheet name="Unit Converter" sheetId="4" state="visible" r:id="rId4"/>
    <sheet name="Mud &amp; Hydrostatics" sheetId="5" state="visible" r:id="rId5"/>
    <sheet name="Capacities &amp; Displacement" sheetId="6" state="visible" r:id="rId6"/>
    <sheet name="Kill Sheet" sheetId="7" state="visible" r:id="rId7"/>
    <sheet name="Kill Form" sheetId="8" state="visible" r:id="rId8"/>
    <sheet name="Kill Sheet - Subsea" sheetId="9" state="visible" r:id="rId9"/>
    <sheet name="Well Control" sheetId="10" state="visible" r:id="rId10"/>
    <sheet name="Hydraulics" sheetId="11" state="visible" r:id="rId11"/>
    <sheet name="Bit Hydraulics" sheetId="12" state="visible" r:id="rId12"/>
    <sheet name="Drill String &amp; Tension" sheetId="13" state="visible" r:id="rId13"/>
    <sheet name="Directional Drilling" sheetId="14" state="visible" r:id="rId14"/>
    <sheet name="Directional Survey" sheetId="15" state="visible" r:id="rId15"/>
    <sheet name="Torque &amp; Drag" sheetId="16" state="visible" r:id="rId16"/>
    <sheet name="Hole Cleaning" sheetId="17" state="visible" r:id="rId17"/>
    <sheet name="Trip Speed Schedule" sheetId="18" state="visible" r:id="rId18"/>
    <sheet name="Pressure Window" sheetId="19" state="visible" r:id="rId19"/>
    <sheet name="Log Interpretation" sheetId="20" state="visible" r:id="rId20"/>
    <sheet name="Cementing" sheetId="21" state="visible" r:id="rId21"/>
    <sheet name="Casing &amp; Tubular Design" sheetId="22" state="visible" r:id="rId22"/>
    <sheet name="Procedure - Drilling" sheetId="23" state="visible" r:id="rId23"/>
    <sheet name="Completion Fluids &amp; Brines" sheetId="24" state="visible" r:id="rId24"/>
    <sheet name="Tubing &amp; Packer Forces" sheetId="25" state="visible" r:id="rId25"/>
    <sheet name="Tubing Stress Analysis" sheetId="26" state="visible" r:id="rId26"/>
    <sheet name="Perforating" sheetId="27" state="visible" r:id="rId27"/>
    <sheet name="Stimulation &amp; Fracturing" sheetId="28" state="visible" r:id="rId28"/>
    <sheet name="Inflow &amp; Productivity" sheetId="29" state="visible" r:id="rId29"/>
    <sheet name="Nodal Analysis" sheetId="30" state="visible" r:id="rId30"/>
    <sheet name="ESP Design" sheetId="31" state="visible" r:id="rId31"/>
    <sheet name="Gas Lift Design" sheetId="32" state="visible" r:id="rId32"/>
    <sheet name="Rod Pump Design" sheetId="33" state="visible" r:id="rId33"/>
    <sheet name="Completion Design" sheetId="34" state="visible" r:id="rId34"/>
    <sheet name="Production Chemistry" sheetId="35" state="visible" r:id="rId35"/>
    <sheet name="Completion Equipment" sheetId="36" state="visible" r:id="rId36"/>
    <sheet name="Advanced Completions" sheetId="37" state="visible" r:id="rId37"/>
    <sheet name="Procedure - Completion" sheetId="38" state="visible" r:id="rId38"/>
    <sheet name="Surface Rig-Up" sheetId="39" state="visible" r:id="rId39"/>
    <sheet name="Coiled Tubing" sheetId="40" state="visible" r:id="rId40"/>
    <sheet name="Wireline" sheetId="41" state="visible" r:id="rId41"/>
    <sheet name="Snubbing &amp; Hydraulic Workover" sheetId="42" state="visible" r:id="rId42"/>
    <sheet name="Well Kill - Interventions" sheetId="43" state="visible" r:id="rId43"/>
    <sheet name="Fishing &amp; Stuck Pipe" sheetId="44" state="visible" r:id="rId44"/>
    <sheet name="Procedure - Intervention" sheetId="45" state="visible" r:id="rId45"/>
    <sheet name="Wellbore Schematic" sheetId="46" state="visible" r:id="rId46"/>
  </sheets>
  <definedNames>
    <definedName name="WD_Well">'Well Data'!$B$10</definedName>
    <definedName name="WD_Field">'Well Data'!$B$11</definedName>
    <definedName name="WD_Rig">'Well Data'!$B$12</definedName>
    <definedName name="WD_Engineer">'Well Data'!$B$13</definedName>
    <definedName name="WD_Date">'Well Data'!$B$14</definedName>
    <definedName name="WD_MD">'Well Data'!$B$20</definedName>
    <definedName name="WD_TVD">'Well Data'!$B$21</definedName>
    <definedName name="WD_ShoeMD">'Well Data'!$B$22</definedName>
    <definedName name="WD_ShoeTVD">'Well Data'!$B$23</definedName>
    <definedName name="WD_HoleDiam">'Well Data'!$B$24</definedName>
    <definedName name="WD_CsgID">'Well Data'!$B$25</definedName>
    <definedName name="WD_PerfTVD">'Well Data'!$B$26</definedName>
    <definedName name="WD_OMW">'Well Data'!$B$31</definedName>
    <definedName name="WD_PV">'Well Data'!$B$32</definedName>
    <definedName name="WD_YP">'Well Data'!$B$33</definedName>
    <definedName name="WD_LOT">'Well Data'!$B$34</definedName>
    <definedName name="WD_FracGrad">'Well Data'!$B$35</definedName>
    <definedName name="WD_ResP">'Well Data'!$B$36</definedName>
    <definedName name="WD_SCR">'Well Data'!$B$41</definedName>
    <definedName name="WD_SPR">'Well Data'!$B$42</definedName>
    <definedName name="WD_KillRate">'Well Data'!$B$43</definedName>
    <definedName name="WD_BlockWt">'Well Data'!$B$48</definedName>
    <definedName name="WD_WOB">'Well Data'!$B$49</definedName>
    <definedName name="WD_BitTq">'Well Data'!$B$50</definedName>
    <definedName name="WD_TJOD">'Well Data'!$B$51</definedName>
    <definedName name="WD_DPWt">'Well Data'!$B$52</definedName>
    <definedName name="WD_BHAWt">'Well Data'!$B$53</definedName>
    <definedName name="WD_BHALen">'Well Data'!$B$54</definedName>
    <definedName name="WD_MuCased">'Well Data'!$B$55</definedName>
    <definedName name="WD_MuOpen">'Well Data'!$B$56</definedName>
    <definedName name="WD_WaterDepth">'Well Data'!$B$61</definedName>
    <definedName name="WD_AirGap">'Well Data'!$B$62</definedName>
    <definedName name="WD_SWGrad">'Well Data'!$B$63</definedName>
    <definedName name="WD_CLF">'Well Data'!$B$64</definedName>
    <definedName name="WD_TbgOD">'Well Data'!$B$69</definedName>
    <definedName name="WD_TbgID">'Well Data'!$B$70</definedName>
    <definedName name="TL_Names">'Tubular Library'!$A$9:$A$47</definedName>
    <definedName name="TL_Table">'Tubular Library'!$A$9:$D$47</definedName>
    <definedName name="RU_Names">'Surface Rig-Up'!$A$9:$A$28</definedName>
    <definedName name="RU_Table">'Surface Rig-Up'!$A$9:$E$28</definedName>
    <definedName name="_xlnm.Print_Area" localSheetId="7">'Kill Form'!$A$1:$F$39</definedName>
    <definedName name="_xlnm.Print_Area" localSheetId="22">'Procedure - Drilling'!$A$1:$F$52</definedName>
    <definedName name="_xlnm.Print_Area" localSheetId="37">'Procedure - Completion'!$A$1:$F$50</definedName>
    <definedName name="_xlnm.Print_Area" localSheetId="44">'Procedure - Intervention'!$A$1:$F$43</definedName>
  </definedNames>
  <calcPr calcId="124519" fullCalcOnLoad="1"/>
</workbook>
</file>

<file path=xl/styles.xml><?xml version="1.0" encoding="utf-8"?>
<styleSheet xmlns="http://schemas.openxmlformats.org/spreadsheetml/2006/main">
  <numFmts count="8">
    <numFmt numFmtId="164" formatCode="0.000"/>
    <numFmt numFmtId="165" formatCode="0.0"/>
    <numFmt numFmtId="166" formatCode="0.0000"/>
    <numFmt numFmtId="167" formatCode="0.00000"/>
    <numFmt numFmtId="168" formatCode="0.000000"/>
    <numFmt numFmtId="169" formatCode="0.0000000"/>
    <numFmt numFmtId="170" formatCode="#,##0.0"/>
    <numFmt numFmtId="171" formatCode="0.###"/>
  </numFmts>
  <fonts count="21">
    <font>
      <name val="Calibri"/>
      <family val="2"/>
      <color theme="1"/>
      <sz val="11"/>
      <scheme val="minor"/>
    </font>
    <font>
      <name val="Calibri"/>
      <b val="1"/>
      <color rgb="00FFFFFF"/>
      <sz val="16"/>
    </font>
    <font>
      <name val="Calibri"/>
      <i val="1"/>
      <color rgb="00D9E2F3"/>
      <sz val="10"/>
    </font>
    <font>
      <name val="Calibri"/>
      <b val="1"/>
      <color rgb="00404040"/>
      <sz val="10"/>
    </font>
    <font>
      <name val="Calibri"/>
      <b val="1"/>
      <color rgb="001F3864"/>
      <sz val="12"/>
    </font>
    <font>
      <name val="Calibri"/>
      <b val="1"/>
      <color rgb="00000000"/>
      <sz val="11"/>
    </font>
    <font>
      <name val="Calibri"/>
      <i val="1"/>
      <color rgb="007F7F7F"/>
      <sz val="9"/>
    </font>
    <font>
      <name val="Calibri"/>
      <sz val="11"/>
    </font>
    <font>
      <name val="Calibri"/>
      <b val="1"/>
      <sz val="11"/>
    </font>
    <font>
      <name val="Calibri"/>
      <color rgb="00595959"/>
      <sz val="10"/>
    </font>
    <font>
      <name val="Consolas"/>
      <i val="1"/>
      <color rgb="002E5E8C"/>
      <sz val="10"/>
    </font>
    <font>
      <name val="Calibri"/>
      <b val="1"/>
      <color rgb="001E4620"/>
      <sz val="11"/>
    </font>
    <font>
      <name val="Calibri"/>
      <b val="1"/>
      <color rgb="001F4E79"/>
      <sz val="11"/>
    </font>
    <font>
      <name val="Calibri"/>
      <sz val="12"/>
    </font>
    <font>
      <name val="Calibri"/>
      <b val="1"/>
      <sz val="12"/>
    </font>
    <font>
      <name val="Calibri"/>
      <b val="1"/>
      <color rgb="001F3864"/>
      <sz val="13"/>
    </font>
    <font>
      <name val="Calibri"/>
      <b val="1"/>
      <i val="1"/>
      <color rgb="009C5700"/>
      <sz val="9"/>
    </font>
    <font>
      <name val="Calibri"/>
      <sz val="10"/>
    </font>
    <font>
      <name val="Calibri"/>
      <b val="1"/>
      <color rgb="00FFFFFF"/>
      <sz val="22"/>
    </font>
    <font>
      <name val="Calibri"/>
      <b val="1"/>
      <color rgb="00FFFFFF"/>
      <sz val="13"/>
    </font>
    <font>
      <name val="Calibri"/>
      <b val="1"/>
      <color rgb="000563C1"/>
      <sz val="11"/>
      <u val="single"/>
    </font>
  </fonts>
  <fills count="12">
    <fill>
      <patternFill/>
    </fill>
    <fill>
      <patternFill patternType="gray125"/>
    </fill>
    <fill>
      <patternFill patternType="solid">
        <fgColor rgb="001F3864"/>
      </patternFill>
    </fill>
    <fill>
      <patternFill patternType="solid">
        <fgColor rgb="00DDEBF7"/>
      </patternFill>
    </fill>
    <fill>
      <patternFill patternType="solid">
        <fgColor rgb="00F2F2F2"/>
      </patternFill>
    </fill>
    <fill>
      <patternFill patternType="solid">
        <fgColor rgb="00FFF2CC"/>
      </patternFill>
    </fill>
    <fill>
      <patternFill patternType="solid">
        <fgColor rgb="00E2EFDA"/>
      </patternFill>
    </fill>
    <fill>
      <patternFill patternType="solid">
        <fgColor rgb="00DAEEF3"/>
      </patternFill>
    </fill>
    <fill>
      <patternFill patternType="solid">
        <fgColor rgb="00808080"/>
      </patternFill>
    </fill>
    <fill>
      <patternFill patternType="solid">
        <fgColor rgb="002E75B6"/>
      </patternFill>
    </fill>
    <fill>
      <patternFill patternType="solid">
        <fgColor rgb="00548235"/>
      </patternFill>
    </fill>
    <fill>
      <patternFill patternType="solid">
        <fgColor rgb="00C55A11"/>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31">
    <xf numFmtId="0" fontId="0" fillId="0" borderId="0" pivotButton="0" quotePrefix="0" xfId="0"/>
    <xf numFmtId="0" fontId="18" fillId="2" borderId="0" applyAlignment="1" pivotButton="0" quotePrefix="0" xfId="0">
      <alignment horizontal="left" vertical="center" indent="1"/>
    </xf>
    <xf numFmtId="0" fontId="0" fillId="2" borderId="0" pivotButton="0" quotePrefix="0" xfId="0"/>
    <xf numFmtId="0" fontId="4" fillId="0" borderId="0" pivotButton="0" quotePrefix="0" xfId="0"/>
    <xf numFmtId="0" fontId="7" fillId="5" borderId="1" pivotButton="0" quotePrefix="0" xfId="0"/>
    <xf numFmtId="0" fontId="6" fillId="0" borderId="0" applyAlignment="1" pivotButton="0" quotePrefix="0" xfId="0">
      <alignment horizontal="left" vertical="center"/>
    </xf>
    <xf numFmtId="0" fontId="7" fillId="7" borderId="1" pivotButton="0" quotePrefix="0" xfId="0"/>
    <xf numFmtId="0" fontId="7" fillId="6" borderId="1" pivotButton="0" quotePrefix="0" xfId="0"/>
    <xf numFmtId="0" fontId="7" fillId="0" borderId="0" pivotButton="0" quotePrefix="0" xfId="0"/>
    <xf numFmtId="0" fontId="6" fillId="0" borderId="0" pivotButton="0" quotePrefix="0" xfId="0"/>
    <xf numFmtId="0" fontId="19" fillId="8" borderId="0" pivotButton="0" quotePrefix="0" xfId="0"/>
    <xf numFmtId="0" fontId="0" fillId="8" borderId="0" pivotButton="0" quotePrefix="0" xfId="0"/>
    <xf numFmtId="0" fontId="20" fillId="0" borderId="0" pivotButton="0" quotePrefix="0" xfId="0"/>
    <xf numFmtId="0" fontId="19" fillId="9" borderId="0" pivotButton="0" quotePrefix="0" xfId="0"/>
    <xf numFmtId="0" fontId="0" fillId="9" borderId="0" pivotButton="0" quotePrefix="0" xfId="0"/>
    <xf numFmtId="0" fontId="19" fillId="10" borderId="0" pivotButton="0" quotePrefix="0" xfId="0"/>
    <xf numFmtId="0" fontId="0" fillId="10" borderId="0" pivotButton="0" quotePrefix="0" xfId="0"/>
    <xf numFmtId="0" fontId="19" fillId="11" borderId="0" pivotButton="0" quotePrefix="0" xfId="0"/>
    <xf numFmtId="0" fontId="0" fillId="11"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right" vertical="center"/>
    </xf>
    <xf numFmtId="0" fontId="4" fillId="3" borderId="0" applyAlignment="1" pivotButton="0" quotePrefix="0" xfId="0">
      <alignment horizontal="left" vertical="center"/>
    </xf>
    <xf numFmtId="0" fontId="0" fillId="3" borderId="0" pivotButton="0" quotePrefix="0" xfId="0"/>
    <xf numFmtId="0" fontId="5" fillId="4" borderId="0" applyAlignment="1" pivotButton="0" quotePrefix="0" xfId="0">
      <alignment horizontal="left" vertical="center"/>
    </xf>
    <xf numFmtId="0" fontId="0" fillId="4" borderId="0" pivotButton="0" quotePrefix="0" xfId="0"/>
    <xf numFmtId="0" fontId="6" fillId="0" borderId="0" applyAlignment="1" pivotButton="0" quotePrefix="0" xfId="0">
      <alignment horizontal="left" vertical="top" wrapText="1"/>
    </xf>
    <xf numFmtId="0" fontId="7" fillId="0" borderId="0" applyAlignment="1" pivotButton="0" quotePrefix="0" xfId="0">
      <alignment horizontal="left" vertical="center"/>
    </xf>
    <xf numFmtId="49" fontId="8" fillId="5" borderId="1" applyAlignment="1" applyProtection="1" pivotButton="0" quotePrefix="0" xfId="0">
      <alignment horizontal="right" vertical="center"/>
      <protection locked="0" hidden="0"/>
    </xf>
    <xf numFmtId="0" fontId="9" fillId="0" borderId="0" applyAlignment="1" pivotButton="0" quotePrefix="0" xfId="0">
      <alignment horizontal="left" vertical="center"/>
    </xf>
    <xf numFmtId="3" fontId="8" fillId="5" borderId="1" applyAlignment="1" applyProtection="1" pivotButton="0" quotePrefix="0" xfId="0">
      <alignment horizontal="right" vertical="center"/>
      <protection locked="0" hidden="0"/>
    </xf>
    <xf numFmtId="3" fontId="9" fillId="0" borderId="0" applyAlignment="1" pivotButton="0" quotePrefix="0" xfId="0">
      <alignment horizontal="right" vertical="center"/>
    </xf>
    <xf numFmtId="164" fontId="8" fillId="5" borderId="1" applyAlignment="1" applyProtection="1" pivotButton="0" quotePrefix="0" xfId="0">
      <alignment horizontal="right" vertical="center"/>
      <protection locked="0" hidden="0"/>
    </xf>
    <xf numFmtId="164" fontId="9" fillId="0" borderId="0" applyAlignment="1" pivotButton="0" quotePrefix="0" xfId="0">
      <alignment horizontal="right" vertical="center"/>
    </xf>
    <xf numFmtId="4" fontId="8" fillId="5" borderId="1" applyAlignment="1" applyProtection="1" pivotButton="0" quotePrefix="0" xfId="0">
      <alignment horizontal="right" vertical="center"/>
      <protection locked="0" hidden="0"/>
    </xf>
    <xf numFmtId="4" fontId="9" fillId="0" borderId="0" applyAlignment="1" pivotButton="0" quotePrefix="0" xfId="0">
      <alignment horizontal="right" vertical="center"/>
    </xf>
    <xf numFmtId="165" fontId="8" fillId="5" borderId="1" applyAlignment="1" applyProtection="1" pivotButton="0" quotePrefix="0" xfId="0">
      <alignment horizontal="right" vertical="center"/>
      <protection locked="0" hidden="0"/>
    </xf>
    <xf numFmtId="166" fontId="8" fillId="5" borderId="1" applyAlignment="1" applyProtection="1" pivotButton="0" quotePrefix="0" xfId="0">
      <alignment horizontal="right" vertical="center"/>
      <protection locked="0" hidden="0"/>
    </xf>
    <xf numFmtId="166" fontId="9" fillId="0" borderId="0" applyAlignment="1" pivotButton="0" quotePrefix="0" xfId="0">
      <alignment horizontal="right" vertical="center"/>
    </xf>
    <xf numFmtId="165" fontId="9" fillId="0" borderId="0" applyAlignment="1" pivotButton="0" quotePrefix="0" xfId="0">
      <alignment horizontal="right" vertical="center"/>
    </xf>
    <xf numFmtId="2" fontId="8" fillId="5" borderId="1" applyAlignment="1" applyProtection="1" pivotButton="0" quotePrefix="0" xfId="0">
      <alignment horizontal="right" vertical="center"/>
      <protection locked="0" hidden="0"/>
    </xf>
    <xf numFmtId="2" fontId="9" fillId="0" borderId="0" applyAlignment="1" pivotButton="0" quotePrefix="0" xfId="0">
      <alignment horizontal="right" vertical="center"/>
    </xf>
    <xf numFmtId="0" fontId="3" fillId="0" borderId="1" pivotButton="0" quotePrefix="0" xfId="0"/>
    <xf numFmtId="0" fontId="0" fillId="0" borderId="1" pivotButton="0" quotePrefix="0" xfId="0"/>
    <xf numFmtId="164" fontId="0" fillId="0" borderId="1" pivotButton="0" quotePrefix="0" xfId="0"/>
    <xf numFmtId="2" fontId="0" fillId="0" borderId="1" pivotButton="0" quotePrefix="0" xfId="0"/>
    <xf numFmtId="167" fontId="9" fillId="0" borderId="1" pivotButton="0" quotePrefix="0" xfId="0"/>
    <xf numFmtId="164" fontId="9" fillId="0" borderId="1" pivotButton="0" quotePrefix="0" xfId="0"/>
    <xf numFmtId="0" fontId="10" fillId="4" borderId="0" applyAlignment="1" pivotButton="0" quotePrefix="0" xfId="0">
      <alignment horizontal="left" vertical="top" wrapText="1"/>
    </xf>
    <xf numFmtId="164" fontId="11" fillId="6" borderId="1" applyAlignment="1" pivotButton="0" quotePrefix="0" xfId="0">
      <alignment horizontal="right" vertical="center"/>
    </xf>
    <xf numFmtId="2" fontId="11" fillId="6" borderId="1" applyAlignment="1" pivotButton="0" quotePrefix="0" xfId="0">
      <alignment horizontal="right" vertical="center"/>
    </xf>
    <xf numFmtId="167" fontId="11" fillId="6" borderId="1" applyAlignment="1" pivotButton="0" quotePrefix="0" xfId="0">
      <alignment horizontal="right" vertical="center"/>
    </xf>
    <xf numFmtId="167" fontId="9" fillId="0" borderId="0" applyAlignment="1" pivotButton="0" quotePrefix="0" xfId="0">
      <alignment horizontal="right" vertical="center"/>
    </xf>
    <xf numFmtId="165" fontId="11" fillId="6" borderId="1" applyAlignment="1" pivotButton="0" quotePrefix="0" xfId="0">
      <alignment horizontal="right" vertical="center"/>
    </xf>
    <xf numFmtId="168" fontId="8" fillId="5" borderId="1" applyAlignment="1" applyProtection="1" pivotButton="0" quotePrefix="0" xfId="0">
      <alignment horizontal="right" vertical="center"/>
      <protection locked="0" hidden="0"/>
    </xf>
    <xf numFmtId="4" fontId="11" fillId="6" borderId="1" applyAlignment="1" pivotButton="0" quotePrefix="0" xfId="0">
      <alignment horizontal="right" vertical="center"/>
    </xf>
    <xf numFmtId="169" fontId="0" fillId="0" borderId="1" pivotButton="0" quotePrefix="0" xfId="0"/>
    <xf numFmtId="166" fontId="11" fillId="6" borderId="1" applyAlignment="1" pivotButton="0" quotePrefix="0" xfId="0">
      <alignment horizontal="right" vertical="center"/>
    </xf>
    <xf numFmtId="3" fontId="11" fillId="6" borderId="1" applyAlignment="1" pivotButton="0" quotePrefix="0" xfId="0">
      <alignment horizontal="right" vertical="center"/>
    </xf>
    <xf numFmtId="170" fontId="11" fillId="6" borderId="1" applyAlignment="1" pivotButton="0" quotePrefix="0" xfId="0">
      <alignment horizontal="right" vertical="center"/>
    </xf>
    <xf numFmtId="170" fontId="9" fillId="0" borderId="0" applyAlignment="1" pivotButton="0" quotePrefix="0" xfId="0">
      <alignment horizontal="right" vertical="center"/>
    </xf>
    <xf numFmtId="167" fontId="8" fillId="5" borderId="1" applyAlignment="1" applyProtection="1" pivotButton="0" quotePrefix="0" xfId="0">
      <alignment horizontal="right" vertical="center"/>
      <protection locked="0" hidden="0"/>
    </xf>
    <xf numFmtId="4" fontId="12" fillId="7" borderId="1" applyAlignment="1" applyProtection="1" pivotButton="0" quotePrefix="0" xfId="0">
      <alignment horizontal="right" vertical="center"/>
      <protection locked="0" hidden="0"/>
    </xf>
    <xf numFmtId="3" fontId="12" fillId="7" borderId="1" applyAlignment="1" applyProtection="1" pivotButton="0" quotePrefix="0" xfId="0">
      <alignment horizontal="right" vertical="center"/>
      <protection locked="0" hidden="0"/>
    </xf>
    <xf numFmtId="166" fontId="12" fillId="7" borderId="1" applyAlignment="1" applyProtection="1" pivotButton="0" quotePrefix="0" xfId="0">
      <alignment horizontal="right" vertical="center"/>
      <protection locked="0" hidden="0"/>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8" fillId="5" borderId="1" applyProtection="1" pivotButton="0" quotePrefix="0" xfId="0">
      <protection locked="0" hidden="0"/>
    </xf>
    <xf numFmtId="167" fontId="7" fillId="0" borderId="1" applyAlignment="1" pivotButton="0" quotePrefix="0" xfId="0">
      <alignment horizontal="right" vertical="center"/>
    </xf>
    <xf numFmtId="2" fontId="7" fillId="0" borderId="1" applyAlignment="1" pivotButton="0" quotePrefix="0" xfId="0">
      <alignment horizontal="right" vertical="center"/>
    </xf>
    <xf numFmtId="3" fontId="7" fillId="0" borderId="1" applyAlignment="1" pivotButton="0" quotePrefix="0" xfId="0">
      <alignment horizontal="right" vertical="center"/>
    </xf>
    <xf numFmtId="49" fontId="11" fillId="6" borderId="1" applyAlignment="1" pivotButton="0" quotePrefix="0" xfId="0">
      <alignment horizontal="right" vertical="center"/>
    </xf>
    <xf numFmtId="9" fontId="7" fillId="0" borderId="1" applyAlignment="1" pivotButton="0" quotePrefix="0" xfId="0">
      <alignment horizontal="right" vertical="center"/>
    </xf>
    <xf numFmtId="0" fontId="1" fillId="2" borderId="0" pivotButton="0" quotePrefix="0" xfId="0"/>
    <xf numFmtId="0" fontId="13" fillId="0" borderId="0" pivotButton="0" quotePrefix="0" xfId="0"/>
    <xf numFmtId="49" fontId="14" fillId="0" borderId="1" applyAlignment="1" pivotButton="0" quotePrefix="0" xfId="0">
      <alignment horizontal="right" vertical="center"/>
    </xf>
    <xf numFmtId="0" fontId="15" fillId="3" borderId="0" pivotButton="0" quotePrefix="0" xfId="0"/>
    <xf numFmtId="165" fontId="14" fillId="0" borderId="1" applyAlignment="1" pivotButton="0" quotePrefix="0" xfId="0">
      <alignment horizontal="right" vertical="center"/>
    </xf>
    <xf numFmtId="0" fontId="9" fillId="0" borderId="0" pivotButton="0" quotePrefix="0" xfId="0"/>
    <xf numFmtId="3" fontId="14" fillId="0" borderId="1" applyAlignment="1" pivotButton="0" quotePrefix="0" xfId="0">
      <alignment horizontal="right" vertical="center"/>
    </xf>
    <xf numFmtId="0" fontId="14" fillId="0" borderId="1" pivotButton="0" quotePrefix="0" xfId="0"/>
    <xf numFmtId="3" fontId="13" fillId="0" borderId="1" applyAlignment="1" pivotButton="0" quotePrefix="0" xfId="0">
      <alignment horizontal="right" vertical="center"/>
    </xf>
    <xf numFmtId="166" fontId="14" fillId="0" borderId="1" applyAlignment="1" pivotButton="0" quotePrefix="0" xfId="0">
      <alignment horizontal="right" vertical="center"/>
    </xf>
    <xf numFmtId="164" fontId="12" fillId="7" borderId="1" applyAlignment="1" applyProtection="1" pivotButton="0" quotePrefix="0" xfId="0">
      <alignment horizontal="right" vertical="center"/>
      <protection locked="0" hidden="0"/>
    </xf>
    <xf numFmtId="170" fontId="8" fillId="5" borderId="1" applyAlignment="1" applyProtection="1" pivotButton="0" quotePrefix="0" xfId="0">
      <alignment horizontal="right" vertical="center"/>
      <protection locked="0" hidden="0"/>
    </xf>
    <xf numFmtId="165" fontId="8" fillId="5" borderId="1" applyProtection="1" pivotButton="0" quotePrefix="0" xfId="0">
      <protection locked="0" hidden="0"/>
    </xf>
    <xf numFmtId="170" fontId="11" fillId="6" borderId="1" pivotButton="0" quotePrefix="0" xfId="0"/>
    <xf numFmtId="2" fontId="11" fillId="6" borderId="1" pivotButton="0" quotePrefix="0" xfId="0"/>
    <xf numFmtId="0" fontId="4" fillId="3" borderId="0" pivotButton="0" quotePrefix="0" xfId="0"/>
    <xf numFmtId="170" fontId="7" fillId="0" borderId="0" applyAlignment="1" pivotButton="0" quotePrefix="0" xfId="0">
      <alignment horizontal="right" vertical="center"/>
    </xf>
    <xf numFmtId="2" fontId="7" fillId="0" borderId="0" applyAlignment="1" pivotButton="0" quotePrefix="0" xfId="0">
      <alignment horizontal="right" vertical="center"/>
    </xf>
    <xf numFmtId="165" fontId="6" fillId="0" borderId="0" applyAlignment="1" pivotButton="0" quotePrefix="0" xfId="0">
      <alignment horizontal="right" vertical="center"/>
    </xf>
    <xf numFmtId="3" fontId="8" fillId="5" borderId="1" applyProtection="1" pivotButton="0" quotePrefix="0" xfId="0">
      <protection locked="0" hidden="0"/>
    </xf>
    <xf numFmtId="2" fontId="12" fillId="7" borderId="1" applyAlignment="1" applyProtection="1" pivotButton="0" quotePrefix="0" xfId="0">
      <alignment horizontal="right" vertical="center"/>
      <protection locked="0" hidden="0"/>
    </xf>
    <xf numFmtId="165" fontId="12" fillId="7" borderId="1" applyAlignment="1" applyProtection="1" pivotButton="0" quotePrefix="0" xfId="0">
      <alignment horizontal="right" vertical="center"/>
      <protection locked="0" hidden="0"/>
    </xf>
    <xf numFmtId="3" fontId="0" fillId="0" borderId="0" applyAlignment="1" pivotButton="0" quotePrefix="0" xfId="0">
      <alignment horizontal="right" vertical="center"/>
    </xf>
    <xf numFmtId="164" fontId="0" fillId="0" borderId="0" applyAlignment="1" pivotButton="0" quotePrefix="0" xfId="0">
      <alignment horizontal="right" vertical="center"/>
    </xf>
    <xf numFmtId="165" fontId="6" fillId="0" borderId="0" pivotButton="0" quotePrefix="0" xfId="0"/>
    <xf numFmtId="3" fontId="6" fillId="0" borderId="0" applyAlignment="1" pivotButton="0" quotePrefix="0" xfId="0">
      <alignment horizontal="right" vertical="center"/>
    </xf>
    <xf numFmtId="2" fontId="6" fillId="0" borderId="0" applyAlignment="1" pivotButton="0" quotePrefix="0" xfId="0">
      <alignment horizontal="right" vertical="center"/>
    </xf>
    <xf numFmtId="1" fontId="11" fillId="6" borderId="1" applyAlignment="1" pivotButton="0" quotePrefix="0" xfId="0">
      <alignment horizontal="right" vertical="center"/>
    </xf>
    <xf numFmtId="3" fontId="6" fillId="0" borderId="1" applyAlignment="1" pivotButton="0" quotePrefix="0" xfId="0">
      <alignment horizontal="right" vertical="center"/>
    </xf>
    <xf numFmtId="164" fontId="6" fillId="0" borderId="1" applyAlignment="1" pivotButton="0" quotePrefix="0" xfId="0">
      <alignment horizontal="right" vertical="center"/>
    </xf>
    <xf numFmtId="0" fontId="3" fillId="0" borderId="1" applyAlignment="1" pivotButton="0" quotePrefix="0" xfId="0">
      <alignment horizontal="center" vertical="center"/>
    </xf>
    <xf numFmtId="0" fontId="0" fillId="0" borderId="4" pivotButton="0" quotePrefix="0" xfId="0"/>
    <xf numFmtId="0" fontId="0" fillId="0" borderId="5" pivotButton="0" quotePrefix="0" xfId="0"/>
    <xf numFmtId="49" fontId="12" fillId="7" borderId="1" applyAlignment="1" pivotButton="0" quotePrefix="0" xfId="0">
      <alignment horizontal="left" vertical="center"/>
    </xf>
    <xf numFmtId="0" fontId="0" fillId="7" borderId="1" pivotButton="0" quotePrefix="0" xfId="0"/>
    <xf numFmtId="49" fontId="8" fillId="5" borderId="1" applyAlignment="1" applyProtection="1" pivotButton="0" quotePrefix="0" xfId="0">
      <alignment horizontal="left" vertical="center"/>
      <protection locked="0" hidden="0"/>
    </xf>
    <xf numFmtId="0" fontId="0" fillId="5" borderId="1" applyProtection="1" pivotButton="0" quotePrefix="0" xfId="0">
      <protection locked="0" hidden="0"/>
    </xf>
    <xf numFmtId="0" fontId="16" fillId="0" borderId="0" applyAlignment="1" pivotButton="0" quotePrefix="0" xfId="0">
      <alignment horizontal="left" vertical="top" wrapText="1"/>
    </xf>
    <xf numFmtId="1" fontId="7" fillId="0" borderId="1" applyAlignment="1" pivotButton="0" quotePrefix="0" xfId="0">
      <alignment horizontal="center" vertical="center"/>
    </xf>
    <xf numFmtId="0" fontId="17" fillId="5" borderId="1" applyAlignment="1" applyProtection="1" pivotButton="0" quotePrefix="0" xfId="0">
      <alignment horizontal="left" vertical="top" wrapText="1"/>
      <protection locked="0" hidden="0"/>
    </xf>
    <xf numFmtId="0" fontId="0" fillId="0" borderId="1" applyProtection="1" pivotButton="0" quotePrefix="0" xfId="0">
      <protection locked="0" hidden="0"/>
    </xf>
    <xf numFmtId="0" fontId="8" fillId="5" borderId="1" applyAlignment="1" applyProtection="1" pivotButton="0" quotePrefix="0" xfId="0">
      <alignment horizontal="left" vertical="top" wrapText="1"/>
      <protection locked="0" hidden="0"/>
    </xf>
    <xf numFmtId="169" fontId="8" fillId="5" borderId="1" applyAlignment="1" applyProtection="1" pivotButton="0" quotePrefix="0" xfId="0">
      <alignment horizontal="right" vertical="center"/>
      <protection locked="0" hidden="0"/>
    </xf>
    <xf numFmtId="1" fontId="8" fillId="5" borderId="1" applyAlignment="1" applyProtection="1" pivotButton="0" quotePrefix="0" xfId="0">
      <alignment horizontal="right" vertical="center"/>
      <protection locked="0" hidden="0"/>
    </xf>
    <xf numFmtId="168" fontId="11" fillId="6" borderId="1" applyAlignment="1" pivotButton="0" quotePrefix="0" xfId="0">
      <alignment horizontal="right" vertical="center"/>
    </xf>
    <xf numFmtId="1" fontId="6" fillId="0" borderId="1" applyAlignment="1" pivotButton="0" quotePrefix="0" xfId="0">
      <alignment horizontal="right" vertical="center"/>
    </xf>
    <xf numFmtId="1" fontId="7" fillId="0" borderId="1" applyAlignment="1" pivotButton="0" quotePrefix="0" xfId="0">
      <alignment horizontal="right" vertical="center"/>
    </xf>
    <xf numFmtId="170" fontId="7" fillId="0" borderId="1" applyAlignment="1" pivotButton="0" quotePrefix="0" xfId="0">
      <alignment horizontal="right" vertical="center"/>
    </xf>
    <xf numFmtId="170" fontId="6" fillId="0" borderId="1" applyAlignment="1" pivotButton="0" quotePrefix="0" xfId="0">
      <alignment horizontal="right" vertical="center"/>
    </xf>
    <xf numFmtId="165" fontId="0" fillId="0" borderId="1" pivotButton="0" quotePrefix="0" xfId="0"/>
    <xf numFmtId="3" fontId="0" fillId="0" borderId="1" pivotButton="0" quotePrefix="0" xfId="0"/>
    <xf numFmtId="0" fontId="9" fillId="0" borderId="1" pivotButton="0" quotePrefix="0" xfId="0"/>
    <xf numFmtId="166" fontId="9" fillId="0" borderId="1" pivotButton="0" quotePrefix="0" xfId="0"/>
    <xf numFmtId="0" fontId="9" fillId="0" borderId="1" applyAlignment="1" pivotButton="0" quotePrefix="0" xfId="0">
      <alignment horizontal="right" vertical="center"/>
    </xf>
    <xf numFmtId="0" fontId="8" fillId="5" borderId="1" applyAlignment="1" applyProtection="1" pivotButton="0" quotePrefix="0" xfId="0">
      <alignment horizontal="left" vertical="center"/>
      <protection locked="0" hidden="0"/>
    </xf>
    <xf numFmtId="165" fontId="7" fillId="0" borderId="1" applyAlignment="1" pivotButton="0" quotePrefix="0" xfId="0">
      <alignment horizontal="right" vertical="center"/>
    </xf>
    <xf numFmtId="171" fontId="9" fillId="0" borderId="1" applyAlignment="1" pivotButton="0" quotePrefix="0" xfId="0">
      <alignment horizontal="right" vertical="center"/>
    </xf>
  </cellXfs>
  <cellStyles count="1">
    <cellStyle name="Normal" xfId="0" builtinId="0" hidden="0"/>
  </cellStyles>
  <dxfs count="3">
    <dxf>
      <font>
        <b val="1"/>
        <color rgb="009C0006"/>
      </font>
      <fill>
        <patternFill patternType="solid">
          <fgColor rgb="00F8CBAD"/>
        </patternFill>
      </fill>
    </dxf>
    <dxf>
      <font>
        <b val="1"/>
        <color rgb="009C5700"/>
      </font>
      <fill>
        <patternFill patternType="solid">
          <fgColor rgb="00FFE699"/>
        </patternFill>
      </fill>
    </dxf>
    <dxf>
      <font>
        <b val="1"/>
        <color rgb="001E6B2E"/>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styles" Target="styles.xml" Id="rId47" /><Relationship Type="http://schemas.openxmlformats.org/officeDocument/2006/relationships/theme" Target="theme/theme1.xml" Id="rId48" /></Relationships>
</file>

<file path=xl/charts/chart1.xml><?xml version="1.0" encoding="utf-8"?>
<chartSpace xmlns:a="http://schemas.openxmlformats.org/drawingml/2006/main" xmlns="http://schemas.openxmlformats.org/drawingml/2006/chart">
  <chart>
    <title>
      <tx>
        <rich>
          <a:bodyPr/>
          <a:p>
            <a:pPr>
              <a:defRPr/>
            </a:pPr>
            <a:r>
              <a:t>Kill Plot - DP Pressure vs Strokes</a:t>
            </a:r>
          </a:p>
        </rich>
      </tx>
    </title>
    <plotArea>
      <scatterChart>
        <ser>
          <idx val="0"/>
          <order val="0"/>
          <tx>
            <v>Survey-driven schedule</v>
          </tx>
          <spPr>
            <a:ln>
              <a:prstDash val="solid"/>
            </a:ln>
          </spPr>
          <marker>
            <symbol val="circle"/>
            <size val="4"/>
            <spPr>
              <a:ln>
                <a:prstDash val="solid"/>
              </a:ln>
            </spPr>
          </marker>
          <xVal>
            <numRef>
              <f>'Kill Sheet'!$B$95:$B$115</f>
            </numRef>
          </xVal>
          <yVal>
            <numRef>
              <f>'Kill Sheet'!$E$95:$E$115</f>
            </numRef>
          </yVal>
        </ser>
        <ser>
          <idx val="1"/>
          <order val="1"/>
          <tx>
            <v>Vertical-well linear ramp</v>
          </tx>
          <spPr>
            <a:ln>
              <a:prstDash val="solid"/>
            </a:ln>
          </spPr>
          <marker>
            <symbol val="circle"/>
            <size val="4"/>
            <spPr>
              <a:ln>
                <a:prstDash val="solid"/>
              </a:ln>
            </spPr>
          </marker>
          <xVal>
            <numRef>
              <f>'Kill Sheet'!$B$95:$B$115</f>
            </numRef>
          </xVal>
          <yVal>
            <numRef>
              <f>'Kill Sheet'!$F$95:$F$115</f>
            </numRef>
          </yVal>
        </ser>
        <axId val="10"/>
        <axId val="20"/>
      </scatterChart>
      <valAx>
        <axId val="10"/>
        <scaling>
          <orientation val="minMax"/>
        </scaling>
        <delete val="0"/>
        <axPos val="l"/>
        <majorGridlines/>
        <title>
          <tx>
            <rich>
              <a:bodyPr/>
              <a:p>
                <a:pPr>
                  <a:defRPr/>
                </a:pPr>
                <a:r>
                  <a:t>Strokes pumped</a:t>
                </a:r>
              </a:p>
            </rich>
          </tx>
        </title>
        <majorTickMark val="none"/>
        <minorTickMark val="none"/>
        <tickLblPos val="nextTo"/>
        <crossAx val="20"/>
      </valAx>
      <valAx>
        <axId val="20"/>
        <scaling>
          <orientation val="minMax"/>
        </scaling>
        <delete val="0"/>
        <axPos val="l"/>
        <majorGridlines/>
        <title>
          <tx>
            <rich>
              <a:bodyPr/>
              <a:p>
                <a:pPr>
                  <a:defRPr/>
                </a:pPr>
                <a:r>
                  <a:t>Drill pipe pressure (psi)</a:t>
                </a:r>
              </a:p>
            </rich>
          </tx>
        </title>
        <majorTickMark val="none"/>
        <minorTickMark val="none"/>
        <tickLblPos val="nextTo"/>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Wellbore Profile (VS vs TVD)</a:t>
            </a:r>
          </a:p>
        </rich>
      </tx>
    </title>
    <plotArea>
      <scatterChart>
        <varyColors val="0"/>
        <ser>
          <idx val="0"/>
          <order val="0"/>
          <tx>
            <v>Trajectory</v>
          </tx>
          <spPr>
            <a:ln>
              <a:prstDash val="solid"/>
            </a:ln>
          </spPr>
          <marker>
            <symbol val="circle"/>
            <size val="4"/>
            <spPr>
              <a:ln>
                <a:prstDash val="solid"/>
              </a:ln>
            </spPr>
          </marker>
          <xVal>
            <numRef>
              <f>'Directional Survey'!$M$7:$M$106</f>
            </numRef>
          </xVal>
          <yVal>
            <numRef>
              <f>'Directional Survey'!$N$7:$N$106</f>
            </numRef>
          </yVal>
        </ser>
        <axId val="10"/>
        <axId val="20"/>
      </scatterChart>
      <valAx>
        <axId val="10"/>
        <scaling>
          <orientation val="minMax"/>
        </scaling>
        <delete val="0"/>
        <axPos val="l"/>
        <majorGridlines/>
        <title>
          <tx>
            <rich>
              <a:bodyPr/>
              <a:p>
                <a:pPr>
                  <a:defRPr/>
                </a:pPr>
                <a:r>
                  <a:t>Vertical section (ft)</a:t>
                </a:r>
              </a:p>
            </rich>
          </tx>
        </title>
        <majorTickMark val="none"/>
        <minorTickMark val="none"/>
        <tickLblPos val="nextTo"/>
        <crossAx val="20"/>
      </valAx>
      <valAx>
        <axId val="20"/>
        <scaling>
          <orientation val="maxMin"/>
        </scaling>
        <delete val="0"/>
        <axPos val="l"/>
        <majorGridlines/>
        <title>
          <tx>
            <rich>
              <a:bodyPr/>
              <a:p>
                <a:pPr>
                  <a:defRPr/>
                </a:pPr>
                <a:r>
                  <a:t>TVD (ft)</a:t>
                </a:r>
              </a:p>
            </rich>
          </tx>
        </title>
        <majorTickMark val="none"/>
        <minorTickMark val="none"/>
        <tickLblPos val="nextTo"/>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Plan View (E/W vs N/S)</a:t>
            </a:r>
          </a:p>
        </rich>
      </tx>
    </title>
    <plotArea>
      <scatterChart>
        <varyColors val="0"/>
        <ser>
          <idx val="0"/>
          <order val="0"/>
          <tx>
            <v>Trajectory</v>
          </tx>
          <spPr>
            <a:ln>
              <a:prstDash val="solid"/>
            </a:ln>
          </spPr>
          <marker>
            <symbol val="circle"/>
            <size val="4"/>
            <spPr>
              <a:ln>
                <a:prstDash val="solid"/>
              </a:ln>
            </spPr>
          </marker>
          <xVal>
            <numRef>
              <f>'Directional Survey'!$O$7:$O$106</f>
            </numRef>
          </xVal>
          <yVal>
            <numRef>
              <f>'Directional Survey'!$P$7:$P$106</f>
            </numRef>
          </yVal>
        </ser>
        <axId val="10"/>
        <axId val="20"/>
      </scatterChart>
      <valAx>
        <axId val="10"/>
        <scaling>
          <orientation val="minMax"/>
        </scaling>
        <delete val="0"/>
        <axPos val="l"/>
        <majorGridlines/>
        <title>
          <tx>
            <rich>
              <a:bodyPr/>
              <a:p>
                <a:pPr>
                  <a:defRPr/>
                </a:pPr>
                <a:r>
                  <a:t>E/W (ft)</a:t>
                </a:r>
              </a:p>
            </rich>
          </tx>
        </title>
        <majorTickMark val="none"/>
        <minorTickMark val="none"/>
        <tickLblPos val="nextTo"/>
        <crossAx val="20"/>
      </valAx>
      <valAx>
        <axId val="20"/>
        <scaling>
          <orientation val="minMax"/>
        </scaling>
        <delete val="0"/>
        <axPos val="l"/>
        <majorGridlines/>
        <title>
          <tx>
            <rich>
              <a:bodyPr/>
              <a:p>
                <a:pPr>
                  <a:defRPr/>
                </a:pPr>
                <a:r>
                  <a:t>N/S (ft)</a:t>
                </a:r>
              </a:p>
            </rich>
          </tx>
        </title>
        <majorTickMark val="none"/>
        <minorTickMark val="none"/>
        <tickLblPos val="nextTo"/>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Tension vs MD</a:t>
            </a:r>
          </a:p>
        </rich>
      </tx>
    </title>
    <plotArea>
      <scatterChart>
        <varyColors val="0"/>
        <ser>
          <idx val="0"/>
          <order val="0"/>
          <tx>
            <v>Pick-up</v>
          </tx>
          <spPr>
            <a:ln>
              <a:prstDash val="solid"/>
            </a:ln>
          </spPr>
          <marker>
            <symbol val="none"/>
            <spPr>
              <a:ln>
                <a:prstDash val="solid"/>
              </a:ln>
            </spPr>
          </marker>
          <xVal>
            <numRef>
              <f>'Torque &amp; Drag'!$O$33:$O$132</f>
            </numRef>
          </xVal>
          <yVal>
            <numRef>
              <f>'Torque &amp; Drag'!$N$33:$N$132</f>
            </numRef>
          </yVal>
        </ser>
        <ser>
          <idx val="1"/>
          <order val="1"/>
          <tx>
            <v>Slack-off</v>
          </tx>
          <spPr>
            <a:ln>
              <a:prstDash val="solid"/>
            </a:ln>
          </spPr>
          <marker>
            <symbol val="none"/>
            <spPr>
              <a:ln>
                <a:prstDash val="solid"/>
              </a:ln>
            </spPr>
          </marker>
          <xVal>
            <numRef>
              <f>'Torque &amp; Drag'!$P$33:$P$132</f>
            </numRef>
          </xVal>
          <yVal>
            <numRef>
              <f>'Torque &amp; Drag'!$N$33:$N$132</f>
            </numRef>
          </yVal>
        </ser>
        <ser>
          <idx val="2"/>
          <order val="2"/>
          <tx>
            <v>Rotating</v>
          </tx>
          <spPr>
            <a:ln>
              <a:prstDash val="solid"/>
            </a:ln>
          </spPr>
          <marker>
            <symbol val="none"/>
            <spPr>
              <a:ln>
                <a:prstDash val="solid"/>
              </a:ln>
            </spPr>
          </marker>
          <xVal>
            <numRef>
              <f>'Torque &amp; Drag'!$Q$33:$Q$132</f>
            </numRef>
          </xVal>
          <yVal>
            <numRef>
              <f>'Torque &amp; Drag'!$N$33:$N$132</f>
            </numRef>
          </yVal>
        </ser>
        <axId val="10"/>
        <axId val="20"/>
      </scatterChart>
      <valAx>
        <axId val="10"/>
        <scaling>
          <orientation val="minMax"/>
        </scaling>
        <delete val="0"/>
        <axPos val="l"/>
        <majorGridlines/>
        <title>
          <tx>
            <rich>
              <a:bodyPr/>
              <a:p>
                <a:pPr>
                  <a:defRPr/>
                </a:pPr>
                <a:r>
                  <a:t>Tension (klbf)</a:t>
                </a:r>
              </a:p>
            </rich>
          </tx>
        </title>
        <majorTickMark val="none"/>
        <minorTickMark val="none"/>
        <tickLblPos val="nextTo"/>
        <crossAx val="20"/>
      </valAx>
      <valAx>
        <axId val="20"/>
        <scaling>
          <orientation val="maxMin"/>
        </scaling>
        <delete val="0"/>
        <axPos val="l"/>
        <majorGridlines/>
        <title>
          <tx>
            <rich>
              <a:bodyPr/>
              <a:p>
                <a:pPr>
                  <a:defRPr/>
                </a:pPr>
                <a:r>
                  <a:t>MD (ft)</a:t>
                </a:r>
              </a:p>
            </rich>
          </tx>
        </title>
        <majorTickMark val="none"/>
        <minorTickMark val="none"/>
        <tickLblPos val="nextTo"/>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Torque vs MD</a:t>
            </a:r>
          </a:p>
        </rich>
      </tx>
    </title>
    <plotArea>
      <scatterChart>
        <varyColors val="0"/>
        <ser>
          <idx val="0"/>
          <order val="0"/>
          <tx>
            <v>Rotating torque</v>
          </tx>
          <spPr>
            <a:ln>
              <a:prstDash val="solid"/>
            </a:ln>
          </spPr>
          <marker>
            <symbol val="none"/>
            <spPr>
              <a:ln>
                <a:prstDash val="solid"/>
              </a:ln>
            </spPr>
          </marker>
          <xVal>
            <numRef>
              <f>'Torque &amp; Drag'!$R$33:$R$132</f>
            </numRef>
          </xVal>
          <yVal>
            <numRef>
              <f>'Torque &amp; Drag'!$N$33:$N$132</f>
            </numRef>
          </yVal>
        </ser>
        <axId val="10"/>
        <axId val="20"/>
      </scatterChart>
      <valAx>
        <axId val="10"/>
        <scaling>
          <orientation val="minMax"/>
        </scaling>
        <delete val="0"/>
        <axPos val="l"/>
        <majorGridlines/>
        <title>
          <tx>
            <rich>
              <a:bodyPr/>
              <a:p>
                <a:pPr>
                  <a:defRPr/>
                </a:pPr>
                <a:r>
                  <a:t>Torque (kft-lbf)</a:t>
                </a:r>
              </a:p>
            </rich>
          </tx>
        </title>
        <majorTickMark val="none"/>
        <minorTickMark val="none"/>
        <tickLblPos val="nextTo"/>
        <crossAx val="20"/>
      </valAx>
      <valAx>
        <axId val="20"/>
        <scaling>
          <orientation val="maxMin"/>
        </scaling>
        <delete val="0"/>
        <axPos val="l"/>
        <majorGridlines/>
        <title>
          <tx>
            <rich>
              <a:bodyPr/>
              <a:p>
                <a:pPr>
                  <a:defRPr/>
                </a:pPr>
                <a:r>
                  <a:t>MD (ft)</a:t>
                </a:r>
              </a:p>
            </rich>
          </tx>
        </title>
        <majorTickMark val="none"/>
        <minorTickMark val="none"/>
        <tickLblPos val="nextTo"/>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Maximum Trip Speed vs Depth</a:t>
            </a:r>
          </a:p>
        </rich>
      </tx>
    </title>
    <plotArea>
      <scatterChart>
        <varyColors val="0"/>
        <ser>
          <idx val="0"/>
          <order val="0"/>
          <tx>
            <v>Run in (surge limit)</v>
          </tx>
          <spPr>
            <a:ln>
              <a:prstDash val="solid"/>
            </a:ln>
          </spPr>
          <marker>
            <symbol val="circle"/>
            <size val="4"/>
            <spPr>
              <a:ln>
                <a:prstDash val="solid"/>
              </a:ln>
            </spPr>
          </marker>
          <xVal>
            <numRef>
              <f>'Trip Speed Schedule'!$H$35:$H$46</f>
            </numRef>
          </xVal>
          <yVal>
            <numRef>
              <f>'Trip Speed Schedule'!$J$35:$J$46</f>
            </numRef>
          </yVal>
        </ser>
        <ser>
          <idx val="1"/>
          <order val="1"/>
          <tx>
            <v>Pull out (swab limit)</v>
          </tx>
          <spPr>
            <a:ln>
              <a:prstDash val="solid"/>
            </a:ln>
          </spPr>
          <marker>
            <symbol val="circle"/>
            <size val="4"/>
            <spPr>
              <a:ln>
                <a:prstDash val="solid"/>
              </a:ln>
            </spPr>
          </marker>
          <xVal>
            <numRef>
              <f>'Trip Speed Schedule'!$I$35:$I$46</f>
            </numRef>
          </xVal>
          <yVal>
            <numRef>
              <f>'Trip Speed Schedule'!$J$35:$J$46</f>
            </numRef>
          </yVal>
        </ser>
        <axId val="10"/>
        <axId val="20"/>
      </scatterChart>
      <valAx>
        <axId val="10"/>
        <scaling>
          <orientation val="minMax"/>
        </scaling>
        <delete val="0"/>
        <axPos val="l"/>
        <majorGridlines/>
        <title>
          <tx>
            <rich>
              <a:bodyPr/>
              <a:p>
                <a:pPr>
                  <a:defRPr/>
                </a:pPr>
                <a:r>
                  <a:t>Pipe speed (ft/min)</a:t>
                </a:r>
              </a:p>
            </rich>
          </tx>
        </title>
        <majorTickMark val="none"/>
        <minorTickMark val="none"/>
        <tickLblPos val="nextTo"/>
        <crossAx val="20"/>
      </valAx>
      <valAx>
        <axId val="20"/>
        <scaling>
          <orientation val="maxMin"/>
        </scaling>
        <delete val="0"/>
        <axPos val="l"/>
        <majorGridlines/>
        <title>
          <tx>
            <rich>
              <a:bodyPr/>
              <a:p>
                <a:pPr>
                  <a:defRPr/>
                </a:pPr>
                <a:r>
                  <a:t>Bit depth (ft)</a:t>
                </a:r>
              </a:p>
            </rich>
          </tx>
        </title>
        <majorTickMark val="none"/>
        <minorTickMark val="none"/>
        <tickLblPos val="nextTo"/>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Drilling Window</a:t>
            </a:r>
          </a:p>
        </rich>
      </tx>
    </title>
    <plotArea>
      <scatterChart>
        <varyColors val="0"/>
        <ser>
          <idx val="0"/>
          <order val="0"/>
          <tx>
            <v>Pore EMW</v>
          </tx>
          <spPr>
            <a:ln>
              <a:prstDash val="solid"/>
            </a:ln>
          </spPr>
          <marker>
            <symbol val="circle"/>
            <size val="4"/>
            <spPr>
              <a:ln>
                <a:prstDash val="solid"/>
              </a:ln>
            </spPr>
          </marker>
          <xVal>
            <numRef>
              <f>'Pressure Window'!$H$40:$H$54</f>
            </numRef>
          </xVal>
          <yVal>
            <numRef>
              <f>'Pressure Window'!$G$40:$G$54</f>
            </numRef>
          </yVal>
        </ser>
        <ser>
          <idx val="1"/>
          <order val="1"/>
          <tx>
            <v>Frac EMW</v>
          </tx>
          <spPr>
            <a:ln>
              <a:prstDash val="solid"/>
            </a:ln>
          </spPr>
          <marker>
            <symbol val="circle"/>
            <size val="4"/>
            <spPr>
              <a:ln>
                <a:prstDash val="solid"/>
              </a:ln>
            </spPr>
          </marker>
          <xVal>
            <numRef>
              <f>'Pressure Window'!$I$40:$I$54</f>
            </numRef>
          </xVal>
          <yVal>
            <numRef>
              <f>'Pressure Window'!$G$40:$G$54</f>
            </numRef>
          </yVal>
        </ser>
        <ser>
          <idx val="2"/>
          <order val="2"/>
          <tx>
            <v>Mud weight</v>
          </tx>
          <spPr>
            <a:ln>
              <a:prstDash val="solid"/>
            </a:ln>
          </spPr>
          <marker>
            <symbol val="circle"/>
            <size val="4"/>
            <spPr>
              <a:ln>
                <a:prstDash val="solid"/>
              </a:ln>
            </spPr>
          </marker>
          <xVal>
            <numRef>
              <f>'Pressure Window'!$J$40:$J$54</f>
            </numRef>
          </xVal>
          <yVal>
            <numRef>
              <f>'Pressure Window'!$G$40:$G$54</f>
            </numRef>
          </yVal>
        </ser>
        <ser>
          <idx val="3"/>
          <order val="3"/>
          <tx>
            <v>ECD</v>
          </tx>
          <spPr>
            <a:ln>
              <a:prstDash val="solid"/>
            </a:ln>
          </spPr>
          <marker>
            <symbol val="circle"/>
            <size val="4"/>
            <spPr>
              <a:ln>
                <a:prstDash val="solid"/>
              </a:ln>
            </spPr>
          </marker>
          <xVal>
            <numRef>
              <f>'Pressure Window'!$K$40:$K$54</f>
            </numRef>
          </xVal>
          <yVal>
            <numRef>
              <f>'Pressure Window'!$G$40:$G$54</f>
            </numRef>
          </yVal>
        </ser>
        <axId val="10"/>
        <axId val="20"/>
      </scatterChart>
      <valAx>
        <axId val="10"/>
        <scaling>
          <orientation val="minMax"/>
        </scaling>
        <delete val="0"/>
        <axPos val="l"/>
        <majorGridlines/>
        <title>
          <tx>
            <rich>
              <a:bodyPr/>
              <a:p>
                <a:pPr>
                  <a:defRPr/>
                </a:pPr>
                <a:r>
                  <a:t>EMW (ppg)</a:t>
                </a:r>
              </a:p>
            </rich>
          </tx>
        </title>
        <majorTickMark val="none"/>
        <minorTickMark val="none"/>
        <tickLblPos val="nextTo"/>
        <crossAx val="20"/>
      </valAx>
      <valAx>
        <axId val="20"/>
        <scaling>
          <orientation val="maxMin"/>
        </scaling>
        <delete val="0"/>
        <axPos val="l"/>
        <majorGridlines/>
        <title>
          <tx>
            <rich>
              <a:bodyPr/>
              <a:p>
                <a:pPr>
                  <a:defRPr/>
                </a:pPr>
                <a:r>
                  <a:t>TVD (ft)</a:t>
                </a:r>
              </a:p>
            </rich>
          </tx>
        </title>
        <majorTickMark val="none"/>
        <minorTickMark val="none"/>
        <tickLblPos val="nextTo"/>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Sw &amp; Vsh vs Depth</a:t>
            </a:r>
          </a:p>
        </rich>
      </tx>
    </title>
    <plotArea>
      <scatterChart>
        <varyColors val="0"/>
        <ser>
          <idx val="0"/>
          <order val="0"/>
          <tx>
            <v>Sw</v>
          </tx>
          <spPr>
            <a:ln>
              <a:prstDash val="solid"/>
            </a:ln>
          </spPr>
          <marker>
            <symbol val="circle"/>
            <size val="4"/>
            <spPr>
              <a:ln>
                <a:prstDash val="solid"/>
              </a:ln>
            </spPr>
          </marker>
          <xVal>
            <numRef>
              <f>'Log Interpretation'!$N$82:$N$106</f>
            </numRef>
          </xVal>
          <yVal>
            <numRef>
              <f>'Log Interpretation'!$M$82:$M$106</f>
            </numRef>
          </yVal>
        </ser>
        <ser>
          <idx val="1"/>
          <order val="1"/>
          <tx>
            <v>Vsh</v>
          </tx>
          <spPr>
            <a:ln>
              <a:prstDash val="solid"/>
            </a:ln>
          </spPr>
          <marker>
            <symbol val="circle"/>
            <size val="4"/>
            <spPr>
              <a:ln>
                <a:prstDash val="solid"/>
              </a:ln>
            </spPr>
          </marker>
          <xVal>
            <numRef>
              <f>'Log Interpretation'!$O$82:$O$106</f>
            </numRef>
          </xVal>
          <yVal>
            <numRef>
              <f>'Log Interpretation'!$M$82:$M$106</f>
            </numRef>
          </yVal>
        </ser>
        <axId val="10"/>
        <axId val="20"/>
      </scatterChart>
      <valAx>
        <axId val="10"/>
        <scaling>
          <orientation val="minMax"/>
          <max val="1"/>
          <min val="0"/>
        </scaling>
        <delete val="0"/>
        <axPos val="l"/>
        <majorGridlines/>
        <title>
          <tx>
            <rich>
              <a:bodyPr/>
              <a:p>
                <a:pPr>
                  <a:defRPr/>
                </a:pPr>
                <a:r>
                  <a:t>Fraction (v/v)</a:t>
                </a:r>
              </a:p>
            </rich>
          </tx>
        </title>
        <majorTickMark val="none"/>
        <minorTickMark val="none"/>
        <tickLblPos val="nextTo"/>
        <crossAx val="20"/>
      </valAx>
      <valAx>
        <axId val="20"/>
        <scaling>
          <orientation val="maxMin"/>
        </scaling>
        <delete val="0"/>
        <axPos val="l"/>
        <majorGridlines/>
        <title>
          <tx>
            <rich>
              <a:bodyPr/>
              <a:p>
                <a:pPr>
                  <a:defRPr/>
                </a:pPr>
                <a:r>
                  <a:t>Depth (ft)</a:t>
                </a:r>
              </a:p>
            </rich>
          </tx>
        </title>
        <majorTickMark val="none"/>
        <minorTickMark val="none"/>
        <tickLblPos val="nextTo"/>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Porosity vs Depth</a:t>
            </a:r>
          </a:p>
        </rich>
      </tx>
    </title>
    <plotArea>
      <scatterChart>
        <varyColors val="0"/>
        <ser>
          <idx val="0"/>
          <order val="0"/>
          <tx>
            <v>PHIE</v>
          </tx>
          <spPr>
            <a:ln>
              <a:prstDash val="solid"/>
            </a:ln>
          </spPr>
          <marker>
            <symbol val="circle"/>
            <size val="4"/>
            <spPr>
              <a:ln>
                <a:prstDash val="solid"/>
              </a:ln>
            </spPr>
          </marker>
          <xVal>
            <numRef>
              <f>'Log Interpretation'!$P$82:$P$106</f>
            </numRef>
          </xVal>
          <yVal>
            <numRef>
              <f>'Log Interpretation'!$M$82:$M$106</f>
            </numRef>
          </yVal>
        </ser>
        <axId val="10"/>
        <axId val="20"/>
      </scatterChart>
      <valAx>
        <axId val="10"/>
        <scaling>
          <orientation val="minMax"/>
        </scaling>
        <delete val="0"/>
        <axPos val="l"/>
        <majorGridlines/>
        <title>
          <tx>
            <rich>
              <a:bodyPr/>
              <a:p>
                <a:pPr>
                  <a:defRPr/>
                </a:pPr>
                <a:r>
                  <a:t>PHIE (v/v)</a:t>
                </a:r>
              </a:p>
            </rich>
          </tx>
        </title>
        <majorTickMark val="none"/>
        <minorTickMark val="none"/>
        <tickLblPos val="nextTo"/>
        <crossAx val="20"/>
      </valAx>
      <valAx>
        <axId val="20"/>
        <scaling>
          <orientation val="maxMin"/>
        </scaling>
        <delete val="0"/>
        <axPos val="l"/>
        <majorGridlines/>
        <title>
          <tx>
            <rich>
              <a:bodyPr/>
              <a:p>
                <a:pPr>
                  <a:defRPr/>
                </a:pPr>
                <a:r>
                  <a:t>Depth (ft)</a:t>
                </a:r>
              </a:p>
            </rich>
          </tx>
        </title>
        <majorTickMark val="none"/>
        <minorTickMark val="none"/>
        <tickLblPos val="nextTo"/>
        <crossAx val="10"/>
      </valAx>
    </plotArea>
    <legend>
      <legendPos val="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IPR vs VLP - Operating Point</a:t>
            </a:r>
          </a:p>
        </rich>
      </tx>
    </title>
    <plotArea>
      <scatterChart>
        <varyColors val="0"/>
        <ser>
          <idx val="0"/>
          <order val="0"/>
          <tx>
            <v>IPR (Vogel)</v>
          </tx>
          <spPr>
            <a:ln>
              <a:prstDash val="solid"/>
            </a:ln>
          </spPr>
          <marker>
            <symbol val="circle"/>
            <size val="4"/>
            <spPr>
              <a:ln>
                <a:prstDash val="solid"/>
              </a:ln>
            </spPr>
          </marker>
          <xVal>
            <numRef>
              <f>'Nodal Analysis'!$A$29:$A$49</f>
            </numRef>
          </xVal>
          <yVal>
            <numRef>
              <f>'Nodal Analysis'!$B$29:$B$49</f>
            </numRef>
          </yVal>
        </ser>
        <ser>
          <idx val="1"/>
          <order val="1"/>
          <tx>
            <v>VLP (simplified)</v>
          </tx>
          <spPr>
            <a:ln>
              <a:prstDash val="solid"/>
            </a:ln>
          </spPr>
          <marker>
            <symbol val="circle"/>
            <size val="4"/>
            <spPr>
              <a:ln>
                <a:prstDash val="solid"/>
              </a:ln>
            </spPr>
          </marker>
          <xVal>
            <numRef>
              <f>'Nodal Analysis'!$A$29:$A$49</f>
            </numRef>
          </xVal>
          <yVal>
            <numRef>
              <f>'Nodal Analysis'!$C$29:$C$49</f>
            </numRef>
          </yVal>
        </ser>
        <axId val="10"/>
        <axId val="20"/>
      </scatterChart>
      <valAx>
        <axId val="10"/>
        <scaling>
          <orientation val="minMax"/>
        </scaling>
        <delete val="0"/>
        <axPos val="l"/>
        <majorGridlines/>
        <title>
          <tx>
            <rich>
              <a:bodyPr/>
              <a:p>
                <a:pPr>
                  <a:defRPr/>
                </a:pPr>
                <a:r>
                  <a:t>Rate (STB/d)</a:t>
                </a:r>
              </a:p>
            </rich>
          </tx>
        </title>
        <majorTickMark val="none"/>
        <minorTickMark val="none"/>
        <tickLblPos val="nextTo"/>
        <crossAx val="20"/>
      </valAx>
      <valAx>
        <axId val="20"/>
        <scaling>
          <orientation val="minMax"/>
        </scaling>
        <delete val="0"/>
        <axPos val="l"/>
        <majorGridlines/>
        <title>
          <tx>
            <rich>
              <a:bodyPr/>
              <a:p>
                <a:pPr>
                  <a:defRPr/>
                </a:pPr>
                <a:r>
                  <a:t>Flowing BHP (psi)</a:t>
                </a:r>
              </a:p>
            </rich>
          </tx>
        </title>
        <majorTickMark val="none"/>
        <minorTickMark val="none"/>
        <tickLblPos val="nextTo"/>
        <crossAx val="10"/>
      </valAx>
    </plotArea>
    <legend>
      <legendPos val="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a:pPr>
            <a:r>
              <a:t>Valve Spacing Diagram</a:t>
            </a:r>
          </a:p>
        </rich>
      </tx>
    </title>
    <plotArea>
      <scatterChart>
        <varyColors val="0"/>
        <ser>
          <idx val="0"/>
          <order val="0"/>
          <tx>
            <v>Pcsg at valve</v>
          </tx>
          <spPr>
            <a:ln>
              <a:prstDash val="solid"/>
            </a:ln>
          </spPr>
          <marker>
            <symbol val="circle"/>
            <size val="5"/>
            <spPr>
              <a:ln>
                <a:prstDash val="solid"/>
              </a:ln>
            </spPr>
          </marker>
          <xVal>
            <numRef>
              <f>'Gas Lift Design'!$D$39:$D$48</f>
            </numRef>
          </xVal>
          <yVal>
            <numRef>
              <f>'Gas Lift Design'!$B$39:$B$48</f>
            </numRef>
          </yVal>
        </ser>
        <ser>
          <idx val="1"/>
          <order val="1"/>
          <tx>
            <v>Pt at valve</v>
          </tx>
          <spPr>
            <a:ln>
              <a:prstDash val="solid"/>
            </a:ln>
          </spPr>
          <marker>
            <symbol val="circle"/>
            <size val="5"/>
            <spPr>
              <a:ln>
                <a:prstDash val="solid"/>
              </a:ln>
            </spPr>
          </marker>
          <xVal>
            <numRef>
              <f>'Gas Lift Design'!$E$39:$E$48</f>
            </numRef>
          </xVal>
          <yVal>
            <numRef>
              <f>'Gas Lift Design'!$B$39:$B$48</f>
            </numRef>
          </yVal>
        </ser>
        <axId val="10"/>
        <axId val="20"/>
      </scatterChart>
      <valAx>
        <axId val="10"/>
        <scaling>
          <orientation val="minMax"/>
        </scaling>
        <delete val="0"/>
        <axPos val="l"/>
        <majorGridlines/>
        <title>
          <tx>
            <rich>
              <a:bodyPr/>
              <a:p>
                <a:pPr>
                  <a:defRPr/>
                </a:pPr>
                <a:r>
                  <a:t>Pressure (psi)</a:t>
                </a:r>
              </a:p>
            </rich>
          </tx>
        </title>
        <majorTickMark val="none"/>
        <minorTickMark val="none"/>
        <tickLblPos val="nextTo"/>
        <crossAx val="20"/>
      </valAx>
      <valAx>
        <axId val="20"/>
        <scaling>
          <orientation val="maxMin"/>
        </scaling>
        <delete val="0"/>
        <axPos val="l"/>
        <majorGridlines/>
        <title>
          <tx>
            <rich>
              <a:bodyPr/>
              <a:p>
                <a:pPr>
                  <a:defRPr/>
                </a:pPr>
                <a:r>
                  <a:t>Depth (ft)</a:t>
                </a:r>
              </a:p>
            </rich>
          </tx>
        </title>
        <majorTickMark val="none"/>
        <minorTickMark val="none"/>
        <tickLblPos val="nextTo"/>
        <crossAx val="10"/>
      </valAx>
    </plotArea>
    <legend>
      <legendPos val="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a:pPr>
            <a:r>
              <a:t>Wellbore Schematic</a:t>
            </a:r>
          </a:p>
        </rich>
      </tx>
    </title>
    <plotArea>
      <scatterChart>
        <varyColors val="0"/>
        <ser>
          <idx val="0"/>
          <order val="0"/>
          <spPr>
            <a:ln w="28575">
              <a:solidFill>
                <a:srgbClr val="44546A"/>
              </a:solidFill>
              <a:prstDash val="solid"/>
            </a:ln>
          </spPr>
          <marker>
            <symbol val="none"/>
            <spPr>
              <a:ln>
                <a:prstDash val="solid"/>
              </a:ln>
            </spPr>
          </marker>
          <xVal>
            <numRef>
              <f>'Wellbore Schematic'!$I$5:$I$6</f>
            </numRef>
          </xVal>
          <yVal>
            <numRef>
              <f>'Wellbore Schematic'!$J$5:$J$6</f>
            </numRef>
          </yVal>
        </ser>
        <ser>
          <idx val="1"/>
          <order val="1"/>
          <spPr>
            <a:ln w="28575">
              <a:solidFill>
                <a:srgbClr val="44546A"/>
              </a:solidFill>
              <a:prstDash val="solid"/>
            </a:ln>
          </spPr>
          <marker>
            <symbol val="none"/>
            <spPr>
              <a:ln>
                <a:prstDash val="solid"/>
              </a:ln>
            </spPr>
          </marker>
          <xVal>
            <numRef>
              <f>'Wellbore Schematic'!$I$8:$I$9</f>
            </numRef>
          </xVal>
          <yVal>
            <numRef>
              <f>'Wellbore Schematic'!$J$8:$J$9</f>
            </numRef>
          </yVal>
        </ser>
        <ser>
          <idx val="2"/>
          <order val="2"/>
          <spPr>
            <a:ln w="28575">
              <a:solidFill>
                <a:srgbClr val="44546A"/>
              </a:solidFill>
              <a:prstDash val="solid"/>
            </a:ln>
          </spPr>
          <marker>
            <symbol val="none"/>
            <spPr>
              <a:ln>
                <a:prstDash val="solid"/>
              </a:ln>
            </spPr>
          </marker>
          <xVal>
            <numRef>
              <f>'Wellbore Schematic'!$I$11:$I$12</f>
            </numRef>
          </xVal>
          <yVal>
            <numRef>
              <f>'Wellbore Schematic'!$J$11:$J$12</f>
            </numRef>
          </yVal>
        </ser>
        <ser>
          <idx val="3"/>
          <order val="3"/>
          <spPr>
            <a:ln w="28575">
              <a:solidFill>
                <a:srgbClr val="44546A"/>
              </a:solidFill>
              <a:prstDash val="solid"/>
            </a:ln>
          </spPr>
          <marker>
            <symbol val="none"/>
            <spPr>
              <a:ln>
                <a:prstDash val="solid"/>
              </a:ln>
            </spPr>
          </marker>
          <xVal>
            <numRef>
              <f>'Wellbore Schematic'!$I$14:$I$15</f>
            </numRef>
          </xVal>
          <yVal>
            <numRef>
              <f>'Wellbore Schematic'!$J$14:$J$15</f>
            </numRef>
          </yVal>
        </ser>
        <ser>
          <idx val="4"/>
          <order val="4"/>
          <spPr>
            <a:ln w="28575">
              <a:solidFill>
                <a:srgbClr val="44546A"/>
              </a:solidFill>
              <a:prstDash val="solid"/>
            </a:ln>
          </spPr>
          <marker>
            <symbol val="none"/>
            <spPr>
              <a:ln>
                <a:prstDash val="solid"/>
              </a:ln>
            </spPr>
          </marker>
          <xVal>
            <numRef>
              <f>'Wellbore Schematic'!$I$17:$I$18</f>
            </numRef>
          </xVal>
          <yVal>
            <numRef>
              <f>'Wellbore Schematic'!$J$17:$J$18</f>
            </numRef>
          </yVal>
        </ser>
        <ser>
          <idx val="5"/>
          <order val="5"/>
          <spPr>
            <a:ln w="28575">
              <a:solidFill>
                <a:srgbClr val="44546A"/>
              </a:solidFill>
              <a:prstDash val="solid"/>
            </a:ln>
          </spPr>
          <marker>
            <symbol val="none"/>
            <spPr>
              <a:ln>
                <a:prstDash val="solid"/>
              </a:ln>
            </spPr>
          </marker>
          <xVal>
            <numRef>
              <f>'Wellbore Schematic'!$I$20:$I$21</f>
            </numRef>
          </xVal>
          <yVal>
            <numRef>
              <f>'Wellbore Schematic'!$J$20:$J$21</f>
            </numRef>
          </yVal>
        </ser>
        <ser>
          <idx val="6"/>
          <order val="6"/>
          <spPr>
            <a:ln w="28575">
              <a:solidFill>
                <a:srgbClr val="44546A"/>
              </a:solidFill>
              <a:prstDash val="solid"/>
            </a:ln>
          </spPr>
          <marker>
            <symbol val="none"/>
            <spPr>
              <a:ln>
                <a:prstDash val="solid"/>
              </a:ln>
            </spPr>
          </marker>
          <xVal>
            <numRef>
              <f>'Wellbore Schematic'!$I$23:$I$24</f>
            </numRef>
          </xVal>
          <yVal>
            <numRef>
              <f>'Wellbore Schematic'!$J$23:$J$24</f>
            </numRef>
          </yVal>
        </ser>
        <ser>
          <idx val="7"/>
          <order val="7"/>
          <spPr>
            <a:ln w="28575">
              <a:solidFill>
                <a:srgbClr val="44546A"/>
              </a:solidFill>
              <a:prstDash val="solid"/>
            </a:ln>
          </spPr>
          <marker>
            <symbol val="none"/>
            <spPr>
              <a:ln>
                <a:prstDash val="solid"/>
              </a:ln>
            </spPr>
          </marker>
          <xVal>
            <numRef>
              <f>'Wellbore Schematic'!$I$26:$I$27</f>
            </numRef>
          </xVal>
          <yVal>
            <numRef>
              <f>'Wellbore Schematic'!$J$26:$J$27</f>
            </numRef>
          </yVal>
        </ser>
        <ser>
          <idx val="8"/>
          <order val="8"/>
          <spPr>
            <a:ln w="28575">
              <a:solidFill>
                <a:srgbClr val="44546A"/>
              </a:solidFill>
              <a:prstDash val="solid"/>
            </a:ln>
          </spPr>
          <marker>
            <symbol val="none"/>
            <spPr>
              <a:ln>
                <a:prstDash val="solid"/>
              </a:ln>
            </spPr>
          </marker>
          <xVal>
            <numRef>
              <f>'Wellbore Schematic'!$I$29:$I$30</f>
            </numRef>
          </xVal>
          <yVal>
            <numRef>
              <f>'Wellbore Schematic'!$J$29:$J$30</f>
            </numRef>
          </yVal>
        </ser>
        <ser>
          <idx val="9"/>
          <order val="9"/>
          <spPr>
            <a:ln w="28575">
              <a:solidFill>
                <a:srgbClr val="44546A"/>
              </a:solidFill>
              <a:prstDash val="solid"/>
            </a:ln>
          </spPr>
          <marker>
            <symbol val="none"/>
            <spPr>
              <a:ln>
                <a:prstDash val="solid"/>
              </a:ln>
            </spPr>
          </marker>
          <xVal>
            <numRef>
              <f>'Wellbore Schematic'!$I$32:$I$33</f>
            </numRef>
          </xVal>
          <yVal>
            <numRef>
              <f>'Wellbore Schematic'!$J$32:$J$33</f>
            </numRef>
          </yVal>
        </ser>
        <ser>
          <idx val="10"/>
          <order val="10"/>
          <spPr>
            <a:ln w="28575">
              <a:solidFill>
                <a:srgbClr val="44546A"/>
              </a:solidFill>
              <a:prstDash val="solid"/>
            </a:ln>
          </spPr>
          <marker>
            <symbol val="none"/>
            <spPr>
              <a:ln>
                <a:prstDash val="solid"/>
              </a:ln>
            </spPr>
          </marker>
          <xVal>
            <numRef>
              <f>'Wellbore Schematic'!$I$35:$I$36</f>
            </numRef>
          </xVal>
          <yVal>
            <numRef>
              <f>'Wellbore Schematic'!$J$35:$J$36</f>
            </numRef>
          </yVal>
        </ser>
        <ser>
          <idx val="11"/>
          <order val="11"/>
          <spPr>
            <a:ln w="28575">
              <a:solidFill>
                <a:srgbClr val="44546A"/>
              </a:solidFill>
              <a:prstDash val="solid"/>
            </a:ln>
          </spPr>
          <marker>
            <symbol val="none"/>
            <spPr>
              <a:ln>
                <a:prstDash val="solid"/>
              </a:ln>
            </spPr>
          </marker>
          <xVal>
            <numRef>
              <f>'Wellbore Schematic'!$I$38:$I$39</f>
            </numRef>
          </xVal>
          <yVal>
            <numRef>
              <f>'Wellbore Schematic'!$J$38:$J$39</f>
            </numRef>
          </yVal>
        </ser>
        <ser>
          <idx val="12"/>
          <order val="12"/>
          <spPr>
            <a:ln w="28575">
              <a:solidFill>
                <a:srgbClr val="70AD47"/>
              </a:solidFill>
              <a:prstDash val="solid"/>
            </a:ln>
          </spPr>
          <marker>
            <symbol val="none"/>
            <spPr>
              <a:ln>
                <a:prstDash val="solid"/>
              </a:ln>
            </spPr>
          </marker>
          <xVal>
            <numRef>
              <f>'Wellbore Schematic'!$I$53:$I$54</f>
            </numRef>
          </xVal>
          <yVal>
            <numRef>
              <f>'Wellbore Schematic'!$J$53:$J$54</f>
            </numRef>
          </yVal>
        </ser>
        <ser>
          <idx val="13"/>
          <order val="13"/>
          <spPr>
            <a:ln w="28575">
              <a:solidFill>
                <a:srgbClr val="70AD47"/>
              </a:solidFill>
              <a:prstDash val="solid"/>
            </a:ln>
          </spPr>
          <marker>
            <symbol val="none"/>
            <spPr>
              <a:ln>
                <a:prstDash val="solid"/>
              </a:ln>
            </spPr>
          </marker>
          <xVal>
            <numRef>
              <f>'Wellbore Schematic'!$I$56:$I$57</f>
            </numRef>
          </xVal>
          <yVal>
            <numRef>
              <f>'Wellbore Schematic'!$J$56:$J$57</f>
            </numRef>
          </yVal>
        </ser>
        <ser>
          <idx val="14"/>
          <order val="14"/>
          <tx>
            <v>Shoes</v>
          </tx>
          <spPr>
            <a:ln>
              <a:noFill/>
              <a:prstDash val="solid"/>
            </a:ln>
          </spPr>
          <marker>
            <symbol val="triangle"/>
            <size val="8"/>
            <spPr>
              <a:ln>
                <a:prstDash val="solid"/>
              </a:ln>
            </spPr>
          </marker>
          <xVal>
            <numRef>
              <f>'Wellbore Schematic'!$I$41:$I$52</f>
            </numRef>
          </xVal>
          <yVal>
            <numRef>
              <f>'Wellbore Schematic'!$J$41:$J$52</f>
            </numRef>
          </yVal>
        </ser>
        <ser>
          <idx val="15"/>
          <order val="15"/>
          <tx>
            <v>Packer</v>
          </tx>
          <spPr>
            <a:ln>
              <a:noFill/>
              <a:prstDash val="solid"/>
            </a:ln>
          </spPr>
          <marker>
            <symbol val="square"/>
            <size val="11"/>
            <spPr>
              <a:ln>
                <a:prstDash val="solid"/>
              </a:ln>
            </spPr>
          </marker>
          <xVal>
            <numRef>
              <f>'Wellbore Schematic'!$I$59:$I$60</f>
            </numRef>
          </xVal>
          <yVal>
            <numRef>
              <f>'Wellbore Schematic'!$J$59:$J$60</f>
            </numRef>
          </yVal>
        </ser>
        <ser>
          <idx val="16"/>
          <order val="16"/>
          <tx>
            <v>TRSV</v>
          </tx>
          <spPr>
            <a:ln>
              <a:noFill/>
              <a:prstDash val="solid"/>
            </a:ln>
          </spPr>
          <marker>
            <symbol val="diamond"/>
            <size val="8"/>
            <spPr>
              <a:ln>
                <a:prstDash val="solid"/>
              </a:ln>
            </spPr>
          </marker>
          <xVal>
            <numRef>
              <f>'Wellbore Schematic'!$I$61:$I$62</f>
            </numRef>
          </xVal>
          <yVal>
            <numRef>
              <f>'Wellbore Schematic'!$J$61:$J$62</f>
            </numRef>
          </yVal>
        </ser>
        <ser>
          <idx val="17"/>
          <order val="17"/>
          <tx>
            <v>PBTD</v>
          </tx>
          <spPr>
            <a:ln>
              <a:noFill/>
              <a:prstDash val="solid"/>
            </a:ln>
          </spPr>
          <marker>
            <symbol val="x"/>
            <size val="9"/>
            <spPr>
              <a:ln>
                <a:prstDash val="solid"/>
              </a:ln>
            </spPr>
          </marker>
          <xVal>
            <numRef>
              <f>'Wellbore Schematic'!$I$63</f>
            </numRef>
          </xVal>
          <yVal>
            <numRef>
              <f>'Wellbore Schematic'!$J$63</f>
            </numRef>
          </yVal>
        </ser>
        <ser>
          <idx val="18"/>
          <order val="18"/>
          <tx>
            <v>Perfs</v>
          </tx>
          <spPr>
            <a:ln>
              <a:noFill/>
              <a:prstDash val="solid"/>
            </a:ln>
          </spPr>
          <marker>
            <symbol val="dash"/>
            <size val="6"/>
            <spPr>
              <a:ln>
                <a:prstDash val="solid"/>
              </a:ln>
            </spPr>
          </marker>
          <xVal>
            <numRef>
              <f>'Wellbore Schematic'!$I$64:$I$79</f>
            </numRef>
          </xVal>
          <yVal>
            <numRef>
              <f>'Wellbore Schematic'!$J$64:$J$79</f>
            </numRef>
          </yVal>
        </ser>
        <axId val="10"/>
        <axId val="20"/>
      </scatterChart>
      <valAx>
        <axId val="10"/>
        <scaling>
          <orientation val="minMax"/>
        </scaling>
        <delete val="0"/>
        <axPos val="l"/>
        <majorGridlines/>
        <title>
          <tx>
            <rich>
              <a:bodyPr/>
              <a:p>
                <a:pPr>
                  <a:defRPr/>
                </a:pPr>
                <a:r>
                  <a:t>Inches from centerline</a:t>
                </a:r>
              </a:p>
            </rich>
          </tx>
        </title>
        <majorTickMark val="none"/>
        <minorTickMark val="none"/>
        <tickLblPos val="nextTo"/>
        <crossAx val="20"/>
      </valAx>
      <valAx>
        <axId val="20"/>
        <scaling>
          <orientation val="maxMin"/>
        </scaling>
        <delete val="0"/>
        <axPos val="l"/>
        <majorGridlines/>
        <title>
          <tx>
            <rich>
              <a:bodyPr/>
              <a:p>
                <a:pPr>
                  <a:defRPr/>
                </a:pPr>
                <a:r>
                  <a:t>MD (ft)</a:t>
                </a:r>
              </a:p>
            </rich>
          </tx>
        </title>
        <majorTickMark val="none"/>
        <minorTickMark val="none"/>
        <tickLblPos val="nextTo"/>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chart" Target="/xl/charts/chart3.xml" Id="rId2" /></Relationships>
</file>

<file path=xl/drawings/_rels/drawing3.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s>
</file>

<file path=xl/drawings/_rels/drawing4.xml.rels><Relationships xmlns="http://schemas.openxmlformats.org/package/2006/relationships"><Relationship Type="http://schemas.openxmlformats.org/officeDocument/2006/relationships/chart" Target="/xl/charts/chart6.xml" Id="rId1" /></Relationships>
</file>

<file path=xl/drawings/_rels/drawing5.xml.rels><Relationships xmlns="http://schemas.openxmlformats.org/package/2006/relationships"><Relationship Type="http://schemas.openxmlformats.org/officeDocument/2006/relationships/chart" Target="/xl/charts/chart7.xml" Id="rId1" /></Relationships>
</file>

<file path=xl/drawings/_rels/drawing6.xml.rels><Relationships xmlns="http://schemas.openxmlformats.org/package/2006/relationships"><Relationship Type="http://schemas.openxmlformats.org/officeDocument/2006/relationships/chart" Target="/xl/charts/chart8.xml" Id="rId1" /><Relationship Type="http://schemas.openxmlformats.org/officeDocument/2006/relationships/chart" Target="/xl/charts/chart9.xml" Id="rId2" /></Relationships>
</file>

<file path=xl/drawings/_rels/drawing7.xml.rels><Relationships xmlns="http://schemas.openxmlformats.org/package/2006/relationships"><Relationship Type="http://schemas.openxmlformats.org/officeDocument/2006/relationships/chart" Target="/xl/charts/chart10.xml" Id="rId1" /></Relationships>
</file>

<file path=xl/drawings/_rels/drawing8.xml.rels><Relationships xmlns="http://schemas.openxmlformats.org/package/2006/relationships"><Relationship Type="http://schemas.openxmlformats.org/officeDocument/2006/relationships/chart" Target="/xl/charts/chart11.xml" Id="rId1" /></Relationships>
</file>

<file path=xl/drawings/_rels/drawing9.xml.rels><Relationships xmlns="http://schemas.openxmlformats.org/package/2006/relationships"><Relationship Type="http://schemas.openxmlformats.org/officeDocument/2006/relationships/chart" Target="/xl/charts/chart1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93</row>
      <rowOff>0</rowOff>
    </from>
    <ext cx="720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17</col>
      <colOff>0</colOff>
      <row>5</row>
      <rowOff>0</rowOff>
    </from>
    <ext cx="5760000" cy="3600000"/>
    <graphicFrame>
      <nvGraphicFramePr>
        <cNvPr id="1" name="Chart 1"/>
        <cNvGraphicFramePr/>
      </nvGraphicFramePr>
      <xfrm/>
      <a:graphic>
        <a:graphicData uri="http://schemas.openxmlformats.org/drawingml/2006/chart">
          <c:chart r:id="rId1"/>
        </a:graphicData>
      </a:graphic>
    </graphicFrame>
    <clientData/>
  </oneCellAnchor>
  <oneCellAnchor>
    <from>
      <col>17</col>
      <colOff>0</colOff>
      <row>26</row>
      <rowOff>0</rowOff>
    </from>
    <ext cx="5760000" cy="36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19</col>
      <colOff>0</colOff>
      <row>31</row>
      <rowOff>0</rowOff>
    </from>
    <ext cx="5760000" cy="4320000"/>
    <graphicFrame>
      <nvGraphicFramePr>
        <cNvPr id="1" name="Chart 1"/>
        <cNvGraphicFramePr/>
      </nvGraphicFramePr>
      <xfrm/>
      <a:graphic>
        <a:graphicData uri="http://schemas.openxmlformats.org/drawingml/2006/chart">
          <c:chart r:id="rId1"/>
        </a:graphicData>
      </a:graphic>
    </graphicFrame>
    <clientData/>
  </oneCellAnchor>
  <oneCellAnchor>
    <from>
      <col>19</col>
      <colOff>0</colOff>
      <row>56</row>
      <rowOff>0</rowOff>
    </from>
    <ext cx="5760000" cy="43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5</row>
      <rowOff>0</rowOff>
    </from>
    <ext cx="57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5</row>
      <rowOff>0</rowOff>
    </from>
    <ext cx="576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17</col>
      <colOff>0</colOff>
      <row>80</row>
      <rowOff>0</rowOff>
    </from>
    <ext cx="4320000" cy="4320000"/>
    <graphicFrame>
      <nvGraphicFramePr>
        <cNvPr id="1" name="Chart 1"/>
        <cNvGraphicFramePr/>
      </nvGraphicFramePr>
      <xfrm/>
      <a:graphic>
        <a:graphicData uri="http://schemas.openxmlformats.org/drawingml/2006/chart">
          <c:chart r:id="rId1"/>
        </a:graphicData>
      </a:graphic>
    </graphicFrame>
    <clientData/>
  </oneCellAnchor>
  <oneCellAnchor>
    <from>
      <col>17</col>
      <colOff>0</colOff>
      <row>105</row>
      <rowOff>0</rowOff>
    </from>
    <ext cx="4320000" cy="43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5</row>
      <rowOff>0</rowOff>
    </from>
    <ext cx="648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5</row>
      <rowOff>0</rowOff>
    </from>
    <ext cx="576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18</col>
      <colOff>0</colOff>
      <row>3</row>
      <rowOff>0</rowOff>
    </from>
    <ext cx="4680000" cy="79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Well Data'!A1" TargetMode="External" Id="rId1" /><Relationship Type="http://schemas.openxmlformats.org/officeDocument/2006/relationships/hyperlink" Target="#'Tubular Library'!A1" TargetMode="External" Id="rId2" /><Relationship Type="http://schemas.openxmlformats.org/officeDocument/2006/relationships/hyperlink" Target="#'Unit Converter'!A1" TargetMode="External" Id="rId3" /><Relationship Type="http://schemas.openxmlformats.org/officeDocument/2006/relationships/hyperlink" Target="#'Wellbore Schematic'!A1" TargetMode="External" Id="rId4" /><Relationship Type="http://schemas.openxmlformats.org/officeDocument/2006/relationships/hyperlink" Target="#'Mud &amp; Hydrostatics'!A1" TargetMode="External" Id="rId5" /><Relationship Type="http://schemas.openxmlformats.org/officeDocument/2006/relationships/hyperlink" Target="#'Capacities &amp; Displacement'!A1" TargetMode="External" Id="rId6" /><Relationship Type="http://schemas.openxmlformats.org/officeDocument/2006/relationships/hyperlink" Target="#'Kill Sheet'!A1" TargetMode="External" Id="rId7" /><Relationship Type="http://schemas.openxmlformats.org/officeDocument/2006/relationships/hyperlink" Target="#'Kill Form'!A1" TargetMode="External" Id="rId8" /><Relationship Type="http://schemas.openxmlformats.org/officeDocument/2006/relationships/hyperlink" Target="#'Kill Sheet - Subsea'!A1" TargetMode="External" Id="rId9" /><Relationship Type="http://schemas.openxmlformats.org/officeDocument/2006/relationships/hyperlink" Target="#'Well Control'!A1" TargetMode="External" Id="rId10" /><Relationship Type="http://schemas.openxmlformats.org/officeDocument/2006/relationships/hyperlink" Target="#'Hydraulics'!A1" TargetMode="External" Id="rId11" /><Relationship Type="http://schemas.openxmlformats.org/officeDocument/2006/relationships/hyperlink" Target="#'Bit Hydraulics'!A1" TargetMode="External" Id="rId12" /><Relationship Type="http://schemas.openxmlformats.org/officeDocument/2006/relationships/hyperlink" Target="#'Drill String &amp; Tension'!A1" TargetMode="External" Id="rId13" /><Relationship Type="http://schemas.openxmlformats.org/officeDocument/2006/relationships/hyperlink" Target="#'Directional Drilling'!A1" TargetMode="External" Id="rId14" /><Relationship Type="http://schemas.openxmlformats.org/officeDocument/2006/relationships/hyperlink" Target="#'Directional Survey'!A1" TargetMode="External" Id="rId15" /><Relationship Type="http://schemas.openxmlformats.org/officeDocument/2006/relationships/hyperlink" Target="#'Torque &amp; Drag'!A1" TargetMode="External" Id="rId16" /><Relationship Type="http://schemas.openxmlformats.org/officeDocument/2006/relationships/hyperlink" Target="#'Hole Cleaning'!A1" TargetMode="External" Id="rId17" /><Relationship Type="http://schemas.openxmlformats.org/officeDocument/2006/relationships/hyperlink" Target="#'Trip Speed Schedule'!A1" TargetMode="External" Id="rId18" /><Relationship Type="http://schemas.openxmlformats.org/officeDocument/2006/relationships/hyperlink" Target="#'Pressure Window'!A1" TargetMode="External" Id="rId19" /><Relationship Type="http://schemas.openxmlformats.org/officeDocument/2006/relationships/hyperlink" Target="#'Log Interpretation'!A1" TargetMode="External" Id="rId20" /><Relationship Type="http://schemas.openxmlformats.org/officeDocument/2006/relationships/hyperlink" Target="#'Cementing'!A1" TargetMode="External" Id="rId21" /><Relationship Type="http://schemas.openxmlformats.org/officeDocument/2006/relationships/hyperlink" Target="#'Casing &amp; Tubular Design'!A1" TargetMode="External" Id="rId22" /><Relationship Type="http://schemas.openxmlformats.org/officeDocument/2006/relationships/hyperlink" Target="#'Procedure - Drilling'!A1" TargetMode="External" Id="rId23" /><Relationship Type="http://schemas.openxmlformats.org/officeDocument/2006/relationships/hyperlink" Target="#'Completion Fluids &amp; Brines'!A1" TargetMode="External" Id="rId24" /><Relationship Type="http://schemas.openxmlformats.org/officeDocument/2006/relationships/hyperlink" Target="#'Tubing &amp; Packer Forces'!A1" TargetMode="External" Id="rId25" /><Relationship Type="http://schemas.openxmlformats.org/officeDocument/2006/relationships/hyperlink" Target="#'Tubing Stress Analysis'!A1" TargetMode="External" Id="rId26" /><Relationship Type="http://schemas.openxmlformats.org/officeDocument/2006/relationships/hyperlink" Target="#'Perforating'!A1" TargetMode="External" Id="rId27" /><Relationship Type="http://schemas.openxmlformats.org/officeDocument/2006/relationships/hyperlink" Target="#'Stimulation &amp; Fracturing'!A1" TargetMode="External" Id="rId28" /><Relationship Type="http://schemas.openxmlformats.org/officeDocument/2006/relationships/hyperlink" Target="#'Inflow &amp; Productivity'!A1" TargetMode="External" Id="rId29" /><Relationship Type="http://schemas.openxmlformats.org/officeDocument/2006/relationships/hyperlink" Target="#'Nodal Analysis'!A1" TargetMode="External" Id="rId30" /><Relationship Type="http://schemas.openxmlformats.org/officeDocument/2006/relationships/hyperlink" Target="#'ESP Design'!A1" TargetMode="External" Id="rId31" /><Relationship Type="http://schemas.openxmlformats.org/officeDocument/2006/relationships/hyperlink" Target="#'Gas Lift Design'!A1" TargetMode="External" Id="rId32" /><Relationship Type="http://schemas.openxmlformats.org/officeDocument/2006/relationships/hyperlink" Target="#'Rod Pump Design'!A1" TargetMode="External" Id="rId33" /><Relationship Type="http://schemas.openxmlformats.org/officeDocument/2006/relationships/hyperlink" Target="#'Completion Design'!A1" TargetMode="External" Id="rId34" /><Relationship Type="http://schemas.openxmlformats.org/officeDocument/2006/relationships/hyperlink" Target="#'Production Chemistry'!A1" TargetMode="External" Id="rId35" /><Relationship Type="http://schemas.openxmlformats.org/officeDocument/2006/relationships/hyperlink" Target="#'Completion Equipment'!A1" TargetMode="External" Id="rId36" /><Relationship Type="http://schemas.openxmlformats.org/officeDocument/2006/relationships/hyperlink" Target="#'Advanced Completions'!A1" TargetMode="External" Id="rId37" /><Relationship Type="http://schemas.openxmlformats.org/officeDocument/2006/relationships/hyperlink" Target="#'Procedure - Completion'!A1" TargetMode="External" Id="rId38" /><Relationship Type="http://schemas.openxmlformats.org/officeDocument/2006/relationships/hyperlink" Target="#'Surface Rig-Up'!A1" TargetMode="External" Id="rId39" /><Relationship Type="http://schemas.openxmlformats.org/officeDocument/2006/relationships/hyperlink" Target="#'Coiled Tubing'!A1" TargetMode="External" Id="rId40" /><Relationship Type="http://schemas.openxmlformats.org/officeDocument/2006/relationships/hyperlink" Target="#'Wireline'!A1" TargetMode="External" Id="rId41" /><Relationship Type="http://schemas.openxmlformats.org/officeDocument/2006/relationships/hyperlink" Target="#'Snubbing &amp; Hydraulic Workover'!A1" TargetMode="External" Id="rId42" /><Relationship Type="http://schemas.openxmlformats.org/officeDocument/2006/relationships/hyperlink" Target="#'Well Kill - Interventions'!A1" TargetMode="External" Id="rId43" /><Relationship Type="http://schemas.openxmlformats.org/officeDocument/2006/relationships/hyperlink" Target="#'Fishing &amp; Stuck Pipe'!A1" TargetMode="External" Id="rId44" /><Relationship Type="http://schemas.openxmlformats.org/officeDocument/2006/relationships/hyperlink" Target="#'Procedure - Intervention'!A1" TargetMode="External" Id="rId45" /></Relationships>
</file>

<file path=xl/worksheets/_rels/sheet7.xml.rels><Relationships xmlns="http://schemas.openxmlformats.org/package/2006/relationships"><Relationship Type="http://schemas.openxmlformats.org/officeDocument/2006/relationships/drawing" Target="/xl/drawings/drawing1.xml" Id="rId1" /></Relationships>
</file>

<file path=xl/worksheets/_rels/sheet15.xml.rels><Relationships xmlns="http://schemas.openxmlformats.org/package/2006/relationships"><Relationship Type="http://schemas.openxmlformats.org/officeDocument/2006/relationships/drawing" Target="/xl/drawings/drawing2.xml" Id="rId1" /></Relationships>
</file>

<file path=xl/worksheets/_rels/sheet16.xml.rels><Relationships xmlns="http://schemas.openxmlformats.org/package/2006/relationships"><Relationship Type="http://schemas.openxmlformats.org/officeDocument/2006/relationships/drawing" Target="/xl/drawings/drawing3.xml" Id="rId1" /></Relationships>
</file>

<file path=xl/worksheets/_rels/sheet18.xml.rels><Relationships xmlns="http://schemas.openxmlformats.org/package/2006/relationships"><Relationship Type="http://schemas.openxmlformats.org/officeDocument/2006/relationships/drawing" Target="/xl/drawings/drawing4.xml" Id="rId1" /></Relationships>
</file>

<file path=xl/worksheets/_rels/sheet19.xml.rels><Relationships xmlns="http://schemas.openxmlformats.org/package/2006/relationships"><Relationship Type="http://schemas.openxmlformats.org/officeDocument/2006/relationships/drawing" Target="/xl/drawings/drawing5.xml" Id="rId1" /></Relationships>
</file>

<file path=xl/worksheets/_rels/sheet20.xml.rels><Relationships xmlns="http://schemas.openxmlformats.org/package/2006/relationships"><Relationship Type="http://schemas.openxmlformats.org/officeDocument/2006/relationships/drawing" Target="/xl/drawings/drawing6.xml" Id="rId1" /></Relationships>
</file>

<file path=xl/worksheets/_rels/sheet30.xml.rels><Relationships xmlns="http://schemas.openxmlformats.org/package/2006/relationships"><Relationship Type="http://schemas.openxmlformats.org/officeDocument/2006/relationships/drawing" Target="/xl/drawings/drawing7.xml" Id="rId1" /></Relationships>
</file>

<file path=xl/worksheets/_rels/sheet32.xml.rels><Relationships xmlns="http://schemas.openxmlformats.org/package/2006/relationships"><Relationship Type="http://schemas.openxmlformats.org/officeDocument/2006/relationships/drawing" Target="/xl/drawings/drawing8.xml" Id="rId1" /></Relationships>
</file>

<file path=xl/worksheets/_rels/sheet46.xml.rels><Relationships xmlns="http://schemas.openxmlformats.org/package/2006/relationships"><Relationship Type="http://schemas.openxmlformats.org/officeDocument/2006/relationships/drawing" Target="/xl/drawings/drawing9.xml" Id="rId1" /></Relationships>
</file>

<file path=xl/worksheets/sheet1.xml><?xml version="1.0" encoding="utf-8"?>
<worksheet xmlns="http://schemas.openxmlformats.org/spreadsheetml/2006/main">
  <sheetPr>
    <tabColor rgb="00808080"/>
    <outlinePr summaryBelow="1" summaryRight="1"/>
    <pageSetUpPr/>
  </sheetPr>
  <dimension ref="A1:C69"/>
  <sheetViews>
    <sheetView showGridLines="0" workbookViewId="0">
      <selection activeCell="A1" sqref="A1"/>
    </sheetView>
  </sheetViews>
  <sheetFormatPr baseColWidth="8" defaultRowHeight="15"/>
  <cols>
    <col width="3" customWidth="1" min="1" max="1"/>
    <col width="34" customWidth="1" min="2" max="2"/>
    <col width="95" customWidth="1" min="3" max="3"/>
  </cols>
  <sheetData>
    <row r="1" ht="24" customHeight="1">
      <c r="A1" s="1" t="inlineStr">
        <is>
          <t>Drilling, Completion &amp; Intervention Engineering Suite</t>
        </is>
      </c>
      <c r="B1" s="2" t="n"/>
      <c r="C1" s="2" t="n"/>
    </row>
    <row r="2" ht="24" customHeight="1">
      <c r="A2" s="2" t="n"/>
      <c r="B2" s="2" t="n"/>
      <c r="C2" s="2" t="n"/>
    </row>
    <row r="4">
      <c r="B4" s="3" t="inlineStr">
        <is>
          <t>How to use</t>
        </is>
      </c>
    </row>
    <row r="5">
      <c r="B5" s="4" t="inlineStr">
        <is>
          <t>Yellow cells</t>
        </is>
      </c>
      <c r="C5" s="5" t="inlineStr">
        <is>
          <t>User inputs - overwrite the example values with your well data.</t>
        </is>
      </c>
    </row>
    <row r="6">
      <c r="B6" s="6" t="inlineStr">
        <is>
          <t>Blue cells</t>
        </is>
      </c>
      <c r="C6" s="5" t="inlineStr">
        <is>
          <t>Linked to the Well Data master sheet - update the well there once, or overwrite locally for a one-off value.</t>
        </is>
      </c>
    </row>
    <row r="7">
      <c r="B7" s="7" t="inlineStr">
        <is>
          <t>Green cells</t>
        </is>
      </c>
      <c r="C7" s="5" t="inlineStr">
        <is>
          <t>Live calculated results - do not type over them.</t>
        </is>
      </c>
    </row>
    <row r="8">
      <c r="B8" s="8" t="inlineStr">
        <is>
          <t>Red / amber highlights</t>
        </is>
      </c>
      <c r="C8" s="5" t="inlineStr">
        <is>
          <t>Automatic alarms on status cells (limits exceeded, buckling, marginal margins).</t>
        </is>
      </c>
    </row>
    <row r="9">
      <c r="B9" s="8" t="inlineStr">
        <is>
          <t>SI columns</t>
        </is>
      </c>
      <c r="C9" s="5" t="inlineStr">
        <is>
          <t>Every value is mirrored to SI units automatically (columns D-E).</t>
        </is>
      </c>
    </row>
    <row r="10">
      <c r="B10" s="8" t="inlineStr">
        <is>
          <t>Notes / Equation</t>
        </is>
      </c>
      <c r="C10" s="5" t="inlineStr">
        <is>
          <t>The governing equation for every calculation is written out in column F.</t>
        </is>
      </c>
    </row>
    <row r="11">
      <c r="B11" s="8" t="inlineStr">
        <is>
          <t>Protection</t>
        </is>
      </c>
      <c r="C11" s="5" t="inlineStr">
        <is>
          <t>Sheets are protected with no password so formulas can't be typed over by accident - Review &gt; Unprotect Sheet to edit structure.</t>
        </is>
      </c>
    </row>
    <row r="13">
      <c r="B13" s="9" t="inlineStr">
        <is>
          <t>Field units are primary (ppg, psi, ft, in, bbl). All formulas are standard API/IADC/IWCF-form oilfield equations; see each sheet's notes for assumptions.</t>
        </is>
      </c>
    </row>
    <row r="15">
      <c r="B15" s="10" t="inlineStr">
        <is>
          <t>Reference</t>
        </is>
      </c>
      <c r="C15" s="11" t="n"/>
    </row>
    <row r="16">
      <c r="B16" s="12" t="inlineStr">
        <is>
          <t>Well Data</t>
        </is>
      </c>
      <c r="C16" s="5" t="inlineStr">
        <is>
          <t>Single source of well inputs (WD_* named cells) feeding the linked light-blue cells on other sheets</t>
        </is>
      </c>
    </row>
    <row r="17">
      <c r="B17" s="12" t="inlineStr">
        <is>
          <t>Tubular Library</t>
        </is>
      </c>
      <c r="C17" s="5" t="inlineStr">
        <is>
          <t>API tubular catalog (TL_Names/TL_Table named ranges), capacities/displacements per size, and a lookup calculator</t>
        </is>
      </c>
    </row>
    <row r="18">
      <c r="B18" s="12" t="inlineStr">
        <is>
          <t>Unit Converter</t>
        </is>
      </c>
      <c r="C18" s="5" t="inlineStr">
        <is>
          <t>Live converters (density, pressure, volume, flow, force...) and conversion factor table</t>
        </is>
      </c>
    </row>
    <row r="19">
      <c r="B19" s="12" t="inlineStr">
        <is>
          <t>Wellbore Schematic</t>
        </is>
      </c>
      <c r="C19" s="5" t="inlineStr">
        <is>
          <t>Customizable wellbore schematic: casing strings, tubing, packer, TRSV, perfs, PBTD drawn to scale on a chart</t>
        </is>
      </c>
    </row>
    <row r="21">
      <c r="B21" s="13" t="inlineStr">
        <is>
          <t>Drilling</t>
        </is>
      </c>
      <c r="C21" s="14" t="n"/>
    </row>
    <row r="22">
      <c r="B22" s="12" t="inlineStr">
        <is>
          <t>Mud &amp; Hydrostatics</t>
        </is>
      </c>
      <c r="C22" s="5" t="inlineStr">
        <is>
          <t>Pressure gradients, hydrostatic pressure, EMW, ECD, barite weight-up, dilution</t>
        </is>
      </c>
    </row>
    <row r="23">
      <c r="B23" s="12" t="inlineStr">
        <is>
          <t>Capacities &amp; Displacement</t>
        </is>
      </c>
      <c r="C23" s="5" t="inlineStr">
        <is>
          <t>Capacities, displacements, pump output, stroke/lag times, tripping and slug volumes</t>
        </is>
      </c>
    </row>
    <row r="24">
      <c r="B24" s="12" t="inlineStr">
        <is>
          <t>Kill Sheet</t>
        </is>
      </c>
      <c r="C24" s="5" t="inlineStr">
        <is>
          <t>Full kill sheet: string &amp; annulus component tables, KMW, ICP, FCP, survey-driven step-down schedule for deviated/horizontal wells, kill plot</t>
        </is>
      </c>
    </row>
    <row r="25">
      <c r="B25" s="12" t="inlineStr">
        <is>
          <t>Kill Form</t>
        </is>
      </c>
      <c r="C25" s="5" t="inlineStr">
        <is>
          <t>One-page printable kill sheet (all values pulled live from Kill Sheet / Well Data)</t>
        </is>
      </c>
    </row>
    <row r="26">
      <c r="B26" s="12" t="inlineStr">
        <is>
          <t>Kill Sheet - Subsea</t>
        </is>
      </c>
      <c r="C26" s="5" t="inlineStr">
        <is>
          <t>Subsea supplement: CLF-corrected MAASP and choke pressure, choke line volume, kill mud weight, riser margin, disconnected-riser BHP</t>
        </is>
      </c>
    </row>
    <row r="27">
      <c r="B27" s="12" t="inlineStr">
        <is>
          <t>Well Control</t>
        </is>
      </c>
      <c r="C27" s="5" t="inlineStr">
        <is>
          <t>Kick tolerance, MAASP, margins, gas migration/expansion, kill mud, volumetric control</t>
        </is>
      </c>
    </row>
    <row r="28">
      <c r="B28" s="12" t="inlineStr">
        <is>
          <t>Hydraulics</t>
        </is>
      </c>
      <c r="C28" s="5" t="inlineStr">
        <is>
          <t>Velocities, slip velocity, PV/YP, n and K, annular pressure loss, ECD, surge/swab</t>
        </is>
      </c>
    </row>
    <row r="29">
      <c r="B29" s="12" t="inlineStr">
        <is>
          <t>Bit Hydraulics</t>
        </is>
      </c>
      <c r="C29" s="5" t="inlineStr">
        <is>
          <t>TFA, nozzle velocity, bit pressure drop, HHP, HSI, impact force, optimization targets</t>
        </is>
      </c>
    </row>
    <row r="30">
      <c r="B30" s="12" t="inlineStr">
        <is>
          <t>Drill String &amp; Tension</t>
        </is>
      </c>
      <c r="C30" s="5" t="inlineStr">
        <is>
          <t>Buoyancy factor, hook load, MOP, DC length, pipe stretch, slip crush, critical RPM, ton-miles</t>
        </is>
      </c>
    </row>
    <row r="31">
      <c r="B31" s="12" t="inlineStr">
        <is>
          <t>Directional Drilling</t>
        </is>
      </c>
      <c r="C31" s="5" t="inlineStr">
        <is>
          <t>DLS, minimum curvature, closure and vertical section, build planning, slide/rotate split</t>
        </is>
      </c>
    </row>
    <row r="32">
      <c r="B32" s="12" t="inlineStr">
        <is>
          <t>Directional Survey</t>
        </is>
      </c>
      <c r="C32" s="5" t="inlineStr">
        <is>
          <t>Survey upload table (100 stations, minimum curvature), TVD/NS/EW/VS/DLS, profile &amp; plan charts, MD-&gt;TVD interpolator</t>
        </is>
      </c>
    </row>
    <row r="33">
      <c r="B33" s="12" t="inlineStr">
        <is>
          <t>Torque &amp; Drag</t>
        </is>
      </c>
      <c r="C33" s="5" t="inlineStr">
        <is>
          <t>Johancsik soft-string T&amp;D over the Directional Survey: hookloads, surface torque, Dawson-Paslay buckling flags, profile charts</t>
        </is>
      </c>
    </row>
    <row r="34">
      <c r="B34" s="12" t="inlineStr">
        <is>
          <t>Hole Cleaning</t>
        </is>
      </c>
      <c r="C34" s="5" t="inlineStr">
        <is>
          <t>Annular velocity, CCI, angle-band flow guidance, slip velocity, transport ratio, cuttings concentration</t>
        </is>
      </c>
    </row>
    <row r="35">
      <c r="B35" s="12" t="inlineStr">
        <is>
          <t>Trip Speed Schedule</t>
        </is>
      </c>
      <c r="C35" s="5" t="inlineStr">
        <is>
          <t>Max running/pulling speed vs bit depth from surge (frac/loss) and swab (pore/kick) EMW limits, seconds per 93-ft stand, speed chart</t>
        </is>
      </c>
    </row>
    <row r="36">
      <c r="B36" s="12" t="inlineStr">
        <is>
          <t>Pressure Window</t>
        </is>
      </c>
      <c r="C36" s="5" t="inlineStr">
        <is>
          <t>Eaton pore pressure, frac gradient (Eaton, Hubbert &amp; Willis), LOT calibration check, pore/frac/MW/ECD window plot, shoe kick margin</t>
        </is>
      </c>
    </row>
    <row r="37">
      <c r="B37" s="12" t="inlineStr">
        <is>
          <t>Log Interpretation</t>
        </is>
      </c>
      <c r="C37" s="5" t="inlineStr">
        <is>
          <t>Quick-look petrophysics: Vsh, porosity models, Archie Sw, permeability estimate, net pay table with Sw/Vsh and porosity depth plots</t>
        </is>
      </c>
    </row>
    <row r="38">
      <c r="B38" s="12" t="inlineStr">
        <is>
          <t>Cementing</t>
        </is>
      </c>
      <c r="C38" s="5" t="inlineStr">
        <is>
          <t>Slurry yield/density, sack and water volumes, plug bump displacement, balanced plug, ECD, contact time</t>
        </is>
      </c>
    </row>
    <row r="39">
      <c r="B39" s="12" t="inlineStr">
        <is>
          <t>Casing &amp; Tubular Design</t>
        </is>
      </c>
      <c r="C39" s="5" t="inlineStr">
        <is>
          <t>Burst/collapse/tension ratings and SFs, biaxial collapse derating, gas-to-surface MASP, stretch</t>
        </is>
      </c>
    </row>
    <row r="40">
      <c r="B40" s="12" t="inlineStr">
        <is>
          <t>Procedure - Drilling</t>
        </is>
      </c>
      <c r="C40" s="5" t="inlineStr">
        <is>
          <t>Editable template drilling procedure whose step text embeds live Well Data values</t>
        </is>
      </c>
    </row>
    <row r="42">
      <c r="B42" s="15" t="inlineStr">
        <is>
          <t>Completions</t>
        </is>
      </c>
      <c r="C42" s="16" t="n"/>
    </row>
    <row r="43">
      <c r="B43" s="12" t="inlineStr">
        <is>
          <t>Completion Fluids &amp; Brines</t>
        </is>
      </c>
      <c r="C43" s="5" t="inlineStr">
        <is>
          <t>Brine density for overbalance, blending, temperature correction, CaCl2 weight-up, packer fluids</t>
        </is>
      </c>
    </row>
    <row r="44">
      <c r="B44" s="12" t="inlineStr">
        <is>
          <t>Tubing &amp; Packer Forces</t>
        </is>
      </c>
      <c r="C44" s="5" t="inlineStr">
        <is>
          <t>Tubing areas and volumes, stretch, packer setting force, Lubinski force-length effects, buckling</t>
        </is>
      </c>
    </row>
    <row r="45">
      <c r="B45" s="12" t="inlineStr">
        <is>
          <t>Tubing Stress Analysis</t>
        </is>
      </c>
      <c r="C45" s="5" t="inlineStr">
        <is>
          <t>Bellarby-style TSA screening: piston/ballooning/thermal axial loads, Barlow burst, triaxial von Mises with design factors, buckling, APB</t>
        </is>
      </c>
    </row>
    <row r="46">
      <c r="B46" s="12" t="inlineStr">
        <is>
          <t>Perforating</t>
        </is>
      </c>
      <c r="C46" s="5" t="inlineStr">
        <is>
          <t>Optimal underbalance, wellbore pressure at perfs, cushion design, perf flow area, gun string totals</t>
        </is>
      </c>
    </row>
    <row r="47">
      <c r="B47" s="12" t="inlineStr">
        <is>
          <t>Stimulation &amp; Fracturing</t>
        </is>
      </c>
      <c r="C47" s="5" t="inlineStr">
        <is>
          <t>Frac/closure gradients, BHTP and STP, HHP, perf friction, proppant schedule totals, acid volumes</t>
        </is>
      </c>
    </row>
    <row r="48">
      <c r="B48" s="12" t="inlineStr">
        <is>
          <t>Inflow &amp; Productivity</t>
        </is>
      </c>
      <c r="C48" s="5" t="inlineStr">
        <is>
          <t>PI, Darcy radial rate, Vogel IPR and Qmax, gas C-and-n deliverability, AOF, skin pressure drop</t>
        </is>
      </c>
    </row>
    <row r="49">
      <c r="B49" s="12" t="inlineStr">
        <is>
          <t>Nodal Analysis</t>
        </is>
      </c>
      <c r="C49" s="5" t="inlineStr">
        <is>
          <t>Vogel IPR vs simplified VLP, 21-point system curves, interpolated natural-flow operating point and IPR/VLP chart</t>
        </is>
      </c>
    </row>
    <row r="50">
      <c r="B50" s="12" t="inlineStr">
        <is>
          <t>ESP Design</t>
        </is>
      </c>
      <c r="C50" s="5" t="inlineStr">
        <is>
          <t>ESP sizing: PIP and free gas at intake, TDH, stages, motor HP/kW, surface voltage, current and kVA</t>
        </is>
      </c>
    </row>
    <row r="51">
      <c r="B51" s="12" t="inlineStr">
        <is>
          <t>Gas Lift Design</t>
        </is>
      </c>
      <c r="C51" s="5" t="inlineStr">
        <is>
          <t>Gas lift: 10-valve load-fluid spacing table with spacing diagram, injection gas rate and valve test-rack pressures</t>
        </is>
      </c>
    </row>
    <row r="52">
      <c r="B52" s="12" t="inlineStr">
        <is>
          <t>Rod Pump Design</t>
        </is>
      </c>
      <c r="C52" s="5" t="inlineStr">
        <is>
          <t>Beam pump: displacement, PPRL/MPRL, counterbalance, peak torque, motor HP, Goodman check and plunger stroke</t>
        </is>
      </c>
    </row>
    <row r="53">
      <c r="B53" s="12" t="inlineStr">
        <is>
          <t>Completion Design</t>
        </is>
      </c>
      <c r="C53" s="5" t="inlineStr">
        <is>
          <t>Sand control method selection, gravel/screen/proppant sizing, API RP 14E erosional velocity, Turner critical rate</t>
        </is>
      </c>
    </row>
    <row r="54">
      <c r="B54" s="12" t="inlineStr">
        <is>
          <t>Production Chemistry</t>
        </is>
      </c>
      <c r="C54" s="5" t="inlineStr">
        <is>
          <t>CO2/H2S corrosion screening, material selection, hydrate formation and inhibition, scale screening (Bellarby-style)</t>
        </is>
      </c>
    </row>
    <row r="55">
      <c r="B55" s="12" t="inlineStr">
        <is>
          <t>Completion Equipment</t>
        </is>
      </c>
      <c r="C55" s="5" t="inlineStr">
        <is>
          <t>TRSV/control line, hydraulic packer setting, seal stroke space-out, packer envelope and nipple profile checks</t>
        </is>
      </c>
    </row>
    <row r="56">
      <c r="B56" s="12" t="inlineStr">
        <is>
          <t>Advanced Completions</t>
        </is>
      </c>
      <c r="C56" s="5" t="inlineStr">
        <is>
          <t>ICD/ICV sizing, TAML multilateral classification, thermal cycling fatigue screen, APB compliance &amp; gas cushion, deep-set SCSSV design</t>
        </is>
      </c>
    </row>
    <row r="57">
      <c r="B57" s="12" t="inlineStr">
        <is>
          <t>Procedure - Completion</t>
        </is>
      </c>
      <c r="C57" s="5" t="inlineStr">
        <is>
          <t>Editable template completion procedure whose step text embeds live Well Data values</t>
        </is>
      </c>
    </row>
    <row r="59">
      <c r="B59" s="17" t="inlineStr">
        <is>
          <t>Interventions</t>
        </is>
      </c>
      <c r="C59" s="18" t="n"/>
    </row>
    <row r="60">
      <c r="B60" s="12" t="inlineStr">
        <is>
          <t>Surface Rig-Up</t>
        </is>
      </c>
      <c r="C60" s="5" t="inlineStr">
        <is>
          <t>Treating-iron catalog (RU_Names/RU_Table named ranges) and an ordered flow-path builder with footage, volume, restriction and rating tallies plus a line-test check</t>
        </is>
      </c>
    </row>
    <row r="61">
      <c r="B61" s="12" t="inlineStr">
        <is>
          <t>Coiled Tubing</t>
        </is>
      </c>
      <c r="C61" s="5" t="inlineStr">
        <is>
          <t>CT volumes, pipe-light check, pull to yield, burst/collapse, annular velocity, N2 displacement</t>
        </is>
      </c>
    </row>
    <row r="62">
      <c r="B62" s="12" t="inlineStr">
        <is>
          <t>Wireline</t>
        </is>
      </c>
      <c r="C62" s="5" t="inlineStr">
        <is>
          <t>Buoyed cable weight, head tension, safe pull, weak point, stretch and depth correction</t>
        </is>
      </c>
    </row>
    <row r="63">
      <c r="B63" s="12" t="inlineStr">
        <is>
          <t>Snubbing &amp; Hydraulic Workover</t>
        </is>
      </c>
      <c r="C63" s="5" t="inlineStr">
        <is>
          <t>Ejection force, balance point, snubbing force, jack SF, Euler buckling, shear ram check</t>
        </is>
      </c>
    </row>
    <row r="64">
      <c r="B64" s="12" t="inlineStr">
        <is>
          <t>Well Kill - Interventions</t>
        </is>
      </c>
      <c r="C64" s="5" t="inlineStr">
        <is>
          <t>Kill weight fluid, bullhead pressures/volumes, lube &amp; bleed cycles, forward/reverse circulation, volumetric</t>
        </is>
      </c>
    </row>
    <row r="65">
      <c r="B65" s="12" t="inlineStr">
        <is>
          <t>Fishing &amp; Stuck Pipe</t>
        </is>
      </c>
      <c r="C65" s="5" t="inlineStr">
        <is>
          <t>Free point, overpull margin, spot/chase volumes, sticking force, soak pills, milling time</t>
        </is>
      </c>
    </row>
    <row r="66">
      <c r="B66" s="12" t="inlineStr">
        <is>
          <t>Procedure - Intervention</t>
        </is>
      </c>
      <c r="C66" s="5" t="inlineStr">
        <is>
          <t>Editable template intervention procedure whose step text embeds live Well Data values</t>
        </is>
      </c>
    </row>
    <row r="69">
      <c r="B69" s="9" t="inlineStr">
        <is>
          <t>Engineering reference only - verify against current company standards and manufacturer data before operational use.</t>
        </is>
      </c>
    </row>
  </sheetData>
  <sheetProtection selectLockedCells="0" selectUnlockedCells="0" sheet="1" objects="0" insertRows="1" insertHyperlinks="1" autoFilter="1" scenarios="0" formatColumns="0" deleteColumns="1" insertColumns="1" pivotTables="1" deleteRows="1" formatCells="1" formatRows="0" sort="1"/>
  <mergeCells count="1">
    <mergeCell ref="A1:C2"/>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hyperlinks>
    <hyperlink xmlns:r="http://schemas.openxmlformats.org/officeDocument/2006/relationships" ref="B16"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22" r:id="rId5"/>
    <hyperlink xmlns:r="http://schemas.openxmlformats.org/officeDocument/2006/relationships" ref="B23" r:id="rId6"/>
    <hyperlink xmlns:r="http://schemas.openxmlformats.org/officeDocument/2006/relationships" ref="B24" r:id="rId7"/>
    <hyperlink xmlns:r="http://schemas.openxmlformats.org/officeDocument/2006/relationships" ref="B25" r:id="rId8"/>
    <hyperlink xmlns:r="http://schemas.openxmlformats.org/officeDocument/2006/relationships" ref="B26" r:id="rId9"/>
    <hyperlink xmlns:r="http://schemas.openxmlformats.org/officeDocument/2006/relationships" ref="B27" r:id="rId10"/>
    <hyperlink xmlns:r="http://schemas.openxmlformats.org/officeDocument/2006/relationships" ref="B28" r:id="rId11"/>
    <hyperlink xmlns:r="http://schemas.openxmlformats.org/officeDocument/2006/relationships" ref="B29" r:id="rId12"/>
    <hyperlink xmlns:r="http://schemas.openxmlformats.org/officeDocument/2006/relationships" ref="B30" r:id="rId13"/>
    <hyperlink xmlns:r="http://schemas.openxmlformats.org/officeDocument/2006/relationships" ref="B31" r:id="rId14"/>
    <hyperlink xmlns:r="http://schemas.openxmlformats.org/officeDocument/2006/relationships" ref="B32" r:id="rId15"/>
    <hyperlink xmlns:r="http://schemas.openxmlformats.org/officeDocument/2006/relationships" ref="B33" r:id="rId16"/>
    <hyperlink xmlns:r="http://schemas.openxmlformats.org/officeDocument/2006/relationships" ref="B34" r:id="rId17"/>
    <hyperlink xmlns:r="http://schemas.openxmlformats.org/officeDocument/2006/relationships" ref="B35" r:id="rId18"/>
    <hyperlink xmlns:r="http://schemas.openxmlformats.org/officeDocument/2006/relationships" ref="B36" r:id="rId19"/>
    <hyperlink xmlns:r="http://schemas.openxmlformats.org/officeDocument/2006/relationships" ref="B37" r:id="rId20"/>
    <hyperlink xmlns:r="http://schemas.openxmlformats.org/officeDocument/2006/relationships" ref="B38" r:id="rId21"/>
    <hyperlink xmlns:r="http://schemas.openxmlformats.org/officeDocument/2006/relationships" ref="B39" r:id="rId22"/>
    <hyperlink xmlns:r="http://schemas.openxmlformats.org/officeDocument/2006/relationships" ref="B40" r:id="rId23"/>
    <hyperlink xmlns:r="http://schemas.openxmlformats.org/officeDocument/2006/relationships" ref="B43" r:id="rId24"/>
    <hyperlink xmlns:r="http://schemas.openxmlformats.org/officeDocument/2006/relationships" ref="B44" r:id="rId25"/>
    <hyperlink xmlns:r="http://schemas.openxmlformats.org/officeDocument/2006/relationships" ref="B45" r:id="rId26"/>
    <hyperlink xmlns:r="http://schemas.openxmlformats.org/officeDocument/2006/relationships" ref="B46" r:id="rId27"/>
    <hyperlink xmlns:r="http://schemas.openxmlformats.org/officeDocument/2006/relationships" ref="B47" r:id="rId28"/>
    <hyperlink xmlns:r="http://schemas.openxmlformats.org/officeDocument/2006/relationships" ref="B48" r:id="rId29"/>
    <hyperlink xmlns:r="http://schemas.openxmlformats.org/officeDocument/2006/relationships" ref="B49" r:id="rId30"/>
    <hyperlink xmlns:r="http://schemas.openxmlformats.org/officeDocument/2006/relationships" ref="B50" r:id="rId31"/>
    <hyperlink xmlns:r="http://schemas.openxmlformats.org/officeDocument/2006/relationships" ref="B51" r:id="rId32"/>
    <hyperlink xmlns:r="http://schemas.openxmlformats.org/officeDocument/2006/relationships" ref="B52" r:id="rId33"/>
    <hyperlink xmlns:r="http://schemas.openxmlformats.org/officeDocument/2006/relationships" ref="B53" r:id="rId34"/>
    <hyperlink xmlns:r="http://schemas.openxmlformats.org/officeDocument/2006/relationships" ref="B54" r:id="rId35"/>
    <hyperlink xmlns:r="http://schemas.openxmlformats.org/officeDocument/2006/relationships" ref="B55" r:id="rId36"/>
    <hyperlink xmlns:r="http://schemas.openxmlformats.org/officeDocument/2006/relationships" ref="B56" r:id="rId37"/>
    <hyperlink xmlns:r="http://schemas.openxmlformats.org/officeDocument/2006/relationships" ref="B57" r:id="rId38"/>
    <hyperlink xmlns:r="http://schemas.openxmlformats.org/officeDocument/2006/relationships" ref="B60" r:id="rId39"/>
    <hyperlink xmlns:r="http://schemas.openxmlformats.org/officeDocument/2006/relationships" ref="B61" r:id="rId40"/>
    <hyperlink xmlns:r="http://schemas.openxmlformats.org/officeDocument/2006/relationships" ref="B62" r:id="rId41"/>
    <hyperlink xmlns:r="http://schemas.openxmlformats.org/officeDocument/2006/relationships" ref="B63" r:id="rId42"/>
    <hyperlink xmlns:r="http://schemas.openxmlformats.org/officeDocument/2006/relationships" ref="B64" r:id="rId43"/>
    <hyperlink xmlns:r="http://schemas.openxmlformats.org/officeDocument/2006/relationships" ref="B65" r:id="rId44"/>
    <hyperlink xmlns:r="http://schemas.openxmlformats.org/officeDocument/2006/relationships" ref="B66" r:id="rId45"/>
  </hyperlinks>
  <pageMargins left="0.75" right="0.75" top="1" bottom="1" header="0.5" footer="0.5"/>
</worksheet>
</file>

<file path=xl/worksheets/sheet2.xml><?xml version="1.0" encoding="utf-8"?>
<worksheet xmlns="http://schemas.openxmlformats.org/spreadsheetml/2006/main">
  <sheetPr>
    <tabColor rgb="00808080"/>
    <outlinePr summaryBelow="1" summaryRight="1"/>
    <pageSetUpPr/>
  </sheetPr>
  <dimension ref="A1:F70"/>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Well Data - Master Inputs</t>
        </is>
      </c>
      <c r="B1" s="2" t="n"/>
      <c r="C1" s="2" t="n"/>
      <c r="D1" s="2" t="n"/>
      <c r="E1" s="2" t="n"/>
      <c r="F1" s="2" t="n"/>
    </row>
    <row r="2">
      <c r="A2" s="20" t="inlineStr">
        <is>
          <t>Enter the well once; light-blue cells across the workbook pull from here (overwrite them locally when a calc needs a different value)</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Well Identification</t>
        </is>
      </c>
      <c r="B6" s="24" t="n"/>
      <c r="C6" s="24" t="n"/>
      <c r="D6" s="24" t="n"/>
      <c r="E6" s="24" t="n"/>
      <c r="F6" s="24" t="n"/>
    </row>
    <row r="8">
      <c r="A8" s="25" t="inlineStr">
        <is>
          <t>Identification</t>
        </is>
      </c>
      <c r="B8" s="26" t="n"/>
      <c r="C8" s="26" t="n"/>
      <c r="D8" s="26" t="n"/>
      <c r="E8" s="26" t="n"/>
      <c r="F8" s="26" t="n"/>
    </row>
    <row r="9">
      <c r="A9" t="inlineStr"/>
      <c r="F9" s="27" t="inlineStr">
        <is>
          <t>Free text - appears on the printable Kill Form.</t>
        </is>
      </c>
    </row>
    <row r="10">
      <c r="A10" s="28" t="inlineStr">
        <is>
          <t>Well name</t>
        </is>
      </c>
      <c r="B10" s="29" t="inlineStr">
        <is>
          <t>EXAMPLE 1-H</t>
        </is>
      </c>
      <c r="C10" s="30" t="inlineStr"/>
    </row>
    <row r="11">
      <c r="A11" s="28" t="inlineStr">
        <is>
          <t>Field / lease</t>
        </is>
      </c>
      <c r="B11" s="29" t="inlineStr">
        <is>
          <t>EXAMPLE FIELD</t>
        </is>
      </c>
      <c r="C11" s="30" t="inlineStr"/>
    </row>
    <row r="12">
      <c r="A12" s="28" t="inlineStr">
        <is>
          <t>Rig</t>
        </is>
      </c>
      <c r="B12" s="29" t="inlineStr">
        <is>
          <t>RIG 00</t>
        </is>
      </c>
      <c r="C12" s="30" t="inlineStr"/>
    </row>
    <row r="13">
      <c r="A13" s="28" t="inlineStr">
        <is>
          <t>Engineer</t>
        </is>
      </c>
      <c r="B13" s="29" t="inlineStr">
        <is>
          <t>K. Keel</t>
        </is>
      </c>
      <c r="C13" s="30" t="inlineStr"/>
    </row>
    <row r="14">
      <c r="A14" s="28" t="inlineStr">
        <is>
          <t>Date</t>
        </is>
      </c>
      <c r="B14" s="29" t="inlineStr">
        <is>
          <t>2026-08-18</t>
        </is>
      </c>
      <c r="C14" s="30" t="inlineStr"/>
    </row>
    <row r="16" ht="20" customHeight="1">
      <c r="A16" s="23" t="inlineStr">
        <is>
          <t>Depths &amp; Geometry</t>
        </is>
      </c>
      <c r="B16" s="24" t="n"/>
      <c r="C16" s="24" t="n"/>
      <c r="D16" s="24" t="n"/>
      <c r="E16" s="24" t="n"/>
      <c r="F16" s="24" t="n"/>
    </row>
    <row r="18">
      <c r="A18" s="25" t="inlineStr">
        <is>
          <t>Depths &amp; Geometry</t>
        </is>
      </c>
      <c r="B18" s="26" t="n"/>
      <c r="C18" s="26" t="n"/>
      <c r="D18" s="26" t="n"/>
      <c r="E18" s="26" t="n"/>
      <c r="F18" s="26" t="n"/>
    </row>
    <row r="19">
      <c r="A19" t="inlineStr"/>
      <c r="F19" s="27" t="inlineStr">
        <is>
          <t>TVDs from the Directional Survey sheet (TVD at TD cell).</t>
        </is>
      </c>
    </row>
    <row r="20">
      <c r="A20" s="28" t="inlineStr">
        <is>
          <t>Bit / TD measured depth</t>
        </is>
      </c>
      <c r="B20" s="31" t="n">
        <v>10500</v>
      </c>
      <c r="C20" s="30" t="inlineStr">
        <is>
          <t>ft</t>
        </is>
      </c>
      <c r="D20" s="32">
        <f>IFERROR($B$20*0.3048,NA())</f>
        <v/>
      </c>
      <c r="E20" s="30" t="inlineStr">
        <is>
          <t>m</t>
        </is>
      </c>
    </row>
    <row r="21">
      <c r="A21" s="28" t="inlineStr">
        <is>
          <t>Bit / TD true vertical depth</t>
        </is>
      </c>
      <c r="B21" s="31" t="n">
        <v>5573</v>
      </c>
      <c r="C21" s="30" t="inlineStr">
        <is>
          <t>ft</t>
        </is>
      </c>
      <c r="D21" s="32">
        <f>IFERROR($B$21*0.3048,NA())</f>
        <v/>
      </c>
      <c r="E21" s="30" t="inlineStr">
        <is>
          <t>m</t>
        </is>
      </c>
    </row>
    <row r="22">
      <c r="A22" s="28" t="inlineStr">
        <is>
          <t>Casing shoe MD</t>
        </is>
      </c>
      <c r="B22" s="31" t="n">
        <v>5900</v>
      </c>
      <c r="C22" s="30" t="inlineStr">
        <is>
          <t>ft</t>
        </is>
      </c>
      <c r="D22" s="32">
        <f>IFERROR($B$22*0.3048,NA())</f>
        <v/>
      </c>
      <c r="E22" s="30" t="inlineStr">
        <is>
          <t>m</t>
        </is>
      </c>
    </row>
    <row r="23">
      <c r="A23" s="28" t="inlineStr">
        <is>
          <t>Casing shoe TVD</t>
        </is>
      </c>
      <c r="B23" s="31" t="n">
        <v>5573</v>
      </c>
      <c r="C23" s="30" t="inlineStr">
        <is>
          <t>ft</t>
        </is>
      </c>
      <c r="D23" s="32">
        <f>IFERROR($B$23*0.3048,NA())</f>
        <v/>
      </c>
      <c r="E23" s="30" t="inlineStr">
        <is>
          <t>m</t>
        </is>
      </c>
    </row>
    <row r="24">
      <c r="A24" s="28" t="inlineStr">
        <is>
          <t>Open hole diameter</t>
        </is>
      </c>
      <c r="B24" s="33" t="n">
        <v>8.5</v>
      </c>
      <c r="C24" s="30" t="inlineStr">
        <is>
          <t>in</t>
        </is>
      </c>
      <c r="D24" s="34">
        <f>IFERROR($B$24*25.4,NA())</f>
        <v/>
      </c>
      <c r="E24" s="30" t="inlineStr">
        <is>
          <t>mm</t>
        </is>
      </c>
    </row>
    <row r="25">
      <c r="A25" s="28" t="inlineStr">
        <is>
          <t>Last casing ID</t>
        </is>
      </c>
      <c r="B25" s="33" t="n">
        <v>8.680999999999999</v>
      </c>
      <c r="C25" s="30" t="inlineStr">
        <is>
          <t>in</t>
        </is>
      </c>
      <c r="D25" s="34">
        <f>IFERROR($B$25*25.4,NA())</f>
        <v/>
      </c>
      <c r="E25" s="30" t="inlineStr">
        <is>
          <t>mm</t>
        </is>
      </c>
    </row>
    <row r="26">
      <c r="A26" s="28" t="inlineStr">
        <is>
          <t>Perforation / reservoir TVD</t>
        </is>
      </c>
      <c r="B26" s="31" t="n">
        <v>5573</v>
      </c>
      <c r="C26" s="30" t="inlineStr">
        <is>
          <t>ft</t>
        </is>
      </c>
      <c r="D26" s="32">
        <f>IFERROR($B$26*0.3048,NA())</f>
        <v/>
      </c>
      <c r="E26" s="30" t="inlineStr">
        <is>
          <t>m</t>
        </is>
      </c>
    </row>
    <row r="28" ht="20" customHeight="1">
      <c r="A28" s="23" t="inlineStr">
        <is>
          <t>Mud &amp; Formation Pressures</t>
        </is>
      </c>
      <c r="B28" s="24" t="n"/>
      <c r="C28" s="24" t="n"/>
      <c r="D28" s="24" t="n"/>
      <c r="E28" s="24" t="n"/>
      <c r="F28" s="24" t="n"/>
    </row>
    <row r="30">
      <c r="A30" s="25" t="inlineStr">
        <is>
          <t>Mud &amp; Pressures</t>
        </is>
      </c>
      <c r="B30" s="26" t="n"/>
      <c r="C30" s="26" t="n"/>
      <c r="D30" s="26" t="n"/>
      <c r="E30" s="26" t="n"/>
      <c r="F30" s="26" t="n"/>
    </row>
    <row r="31">
      <c r="A31" s="28" t="inlineStr">
        <is>
          <t>Current mud / fluid weight</t>
        </is>
      </c>
      <c r="B31" s="35" t="n">
        <v>12.5</v>
      </c>
      <c r="C31" s="30" t="inlineStr">
        <is>
          <t>ppg</t>
        </is>
      </c>
      <c r="D31" s="36">
        <f>IFERROR($B$31*119.8264,NA())</f>
        <v/>
      </c>
      <c r="E31" s="30" t="inlineStr">
        <is>
          <t>kg/m3</t>
        </is>
      </c>
    </row>
    <row r="32">
      <c r="A32" s="28" t="inlineStr">
        <is>
          <t>Plastic viscosity (PV)</t>
        </is>
      </c>
      <c r="B32" s="37" t="n">
        <v>15</v>
      </c>
      <c r="C32" s="30" t="inlineStr">
        <is>
          <t>cP</t>
        </is>
      </c>
      <c r="F32" s="27" t="inlineStr">
        <is>
          <t>mPa-s in SI</t>
        </is>
      </c>
    </row>
    <row r="33">
      <c r="A33" s="28" t="inlineStr">
        <is>
          <t>Yield point (YP)</t>
        </is>
      </c>
      <c r="B33" s="37" t="n">
        <v>12</v>
      </c>
      <c r="C33" s="30" t="inlineStr"/>
      <c r="F33" s="27" t="inlineStr">
        <is>
          <t>lb/100ft2</t>
        </is>
      </c>
    </row>
    <row r="34">
      <c r="A34" s="28" t="inlineStr">
        <is>
          <t>LOT / FIT equivalent mud weight</t>
        </is>
      </c>
      <c r="B34" s="35" t="n">
        <v>15.2</v>
      </c>
      <c r="C34" s="30" t="inlineStr">
        <is>
          <t>ppg</t>
        </is>
      </c>
      <c r="D34" s="36">
        <f>IFERROR($B$34*119.8264,NA())</f>
        <v/>
      </c>
      <c r="E34" s="30" t="inlineStr">
        <is>
          <t>kg/m3</t>
        </is>
      </c>
    </row>
    <row r="35">
      <c r="A35" s="28" t="inlineStr">
        <is>
          <t>Fracture gradient (at TD/perfs)</t>
        </is>
      </c>
      <c r="B35" s="33" t="n">
        <v>0.79</v>
      </c>
      <c r="C35" s="30" t="inlineStr">
        <is>
          <t>psi/ft</t>
        </is>
      </c>
      <c r="D35" s="34">
        <f>IFERROR($B$35*22.62059,NA())</f>
        <v/>
      </c>
      <c r="E35" s="30" t="inlineStr">
        <is>
          <t>kPa/m</t>
        </is>
      </c>
    </row>
    <row r="36">
      <c r="A36" s="28" t="inlineStr">
        <is>
          <t>Reservoir / formation pressure</t>
        </is>
      </c>
      <c r="B36" s="31" t="n">
        <v>4122</v>
      </c>
      <c r="C36" s="30" t="inlineStr">
        <is>
          <t>psi</t>
        </is>
      </c>
      <c r="D36" s="32">
        <f>IFERROR($B$36*6.894757,NA())</f>
        <v/>
      </c>
      <c r="E36" s="30" t="inlineStr">
        <is>
          <t>kPa</t>
        </is>
      </c>
    </row>
    <row r="38" ht="20" customHeight="1">
      <c r="A38" s="23" t="inlineStr">
        <is>
          <t>Pumps &amp; Kill Parameters</t>
        </is>
      </c>
      <c r="B38" s="24" t="n"/>
      <c r="C38" s="24" t="n"/>
      <c r="D38" s="24" t="n"/>
      <c r="E38" s="24" t="n"/>
      <c r="F38" s="24" t="n"/>
    </row>
    <row r="40">
      <c r="A40" s="25" t="inlineStr">
        <is>
          <t>Pumps &amp; Kill</t>
        </is>
      </c>
      <c r="B40" s="26" t="n"/>
      <c r="C40" s="26" t="n"/>
      <c r="D40" s="26" t="n"/>
      <c r="E40" s="26" t="n"/>
      <c r="F40" s="26" t="n"/>
    </row>
    <row r="41">
      <c r="A41" s="28" t="inlineStr">
        <is>
          <t>Slow circulating rate pressure (SCR)</t>
        </is>
      </c>
      <c r="B41" s="31" t="n">
        <v>750</v>
      </c>
      <c r="C41" s="30" t="inlineStr">
        <is>
          <t>psi</t>
        </is>
      </c>
      <c r="D41" s="32">
        <f>IFERROR($B$41*6.894757,NA())</f>
        <v/>
      </c>
      <c r="E41" s="30" t="inlineStr">
        <is>
          <t>kPa</t>
        </is>
      </c>
    </row>
    <row r="42">
      <c r="A42" s="28" t="inlineStr">
        <is>
          <t>Pump output</t>
        </is>
      </c>
      <c r="B42" s="38" t="n">
        <v>0.102</v>
      </c>
      <c r="C42" s="30" t="inlineStr">
        <is>
          <t>bbl/stk</t>
        </is>
      </c>
      <c r="D42" s="39">
        <f>IFERROR($B$42*158.9873,NA())</f>
        <v/>
      </c>
      <c r="E42" s="30" t="inlineStr">
        <is>
          <t>L/stk</t>
        </is>
      </c>
    </row>
    <row r="43">
      <c r="A43" s="28" t="inlineStr">
        <is>
          <t>Kill rate</t>
        </is>
      </c>
      <c r="B43" s="31" t="n">
        <v>30</v>
      </c>
      <c r="C43" s="30" t="inlineStr"/>
      <c r="F43" s="27" t="inlineStr">
        <is>
          <t>strokes per minute</t>
        </is>
      </c>
    </row>
    <row r="45" ht="20" customHeight="1">
      <c r="A45" s="23" t="inlineStr">
        <is>
          <t>Rig &amp; Drill String (for Torque &amp; Drag)</t>
        </is>
      </c>
      <c r="B45" s="24" t="n"/>
      <c r="C45" s="24" t="n"/>
      <c r="D45" s="24" t="n"/>
      <c r="E45" s="24" t="n"/>
      <c r="F45" s="24" t="n"/>
    </row>
    <row r="47">
      <c r="A47" s="25" t="inlineStr">
        <is>
          <t>Rig &amp; String</t>
        </is>
      </c>
      <c r="B47" s="26" t="n"/>
      <c r="C47" s="26" t="n"/>
      <c r="D47" s="26" t="n"/>
      <c r="E47" s="26" t="n"/>
      <c r="F47" s="26" t="n"/>
    </row>
    <row r="48">
      <c r="A48" s="28" t="inlineStr">
        <is>
          <t>Travelling block + top drive weight</t>
        </is>
      </c>
      <c r="B48" s="31" t="n">
        <v>85</v>
      </c>
      <c r="C48" s="30" t="inlineStr">
        <is>
          <t>klbf</t>
        </is>
      </c>
      <c r="D48" s="32">
        <f>IFERROR($B$48*4.448222,NA())</f>
        <v/>
      </c>
      <c r="E48" s="30" t="inlineStr">
        <is>
          <t>kN</t>
        </is>
      </c>
    </row>
    <row r="49">
      <c r="A49" s="28" t="inlineStr">
        <is>
          <t>Weight on bit (slack-off case)</t>
        </is>
      </c>
      <c r="B49" s="37" t="n">
        <v>15</v>
      </c>
      <c r="C49" s="30" t="inlineStr">
        <is>
          <t>klbf</t>
        </is>
      </c>
      <c r="D49" s="40">
        <f>IFERROR($B$49*4.448222,NA())</f>
        <v/>
      </c>
      <c r="E49" s="30" t="inlineStr">
        <is>
          <t>kN</t>
        </is>
      </c>
    </row>
    <row r="50">
      <c r="A50" s="28" t="inlineStr">
        <is>
          <t>Bit torque</t>
        </is>
      </c>
      <c r="B50" s="31" t="n">
        <v>4000</v>
      </c>
      <c r="C50" s="30" t="inlineStr">
        <is>
          <t>ft-lbf</t>
        </is>
      </c>
      <c r="D50" s="32">
        <f>IFERROR($B$50*1.355818,NA())</f>
        <v/>
      </c>
      <c r="E50" s="30" t="inlineStr">
        <is>
          <t>N-m</t>
        </is>
      </c>
    </row>
    <row r="51">
      <c r="A51" s="28" t="inlineStr">
        <is>
          <t>Tool joint OD</t>
        </is>
      </c>
      <c r="B51" s="33" t="n">
        <v>6.625</v>
      </c>
      <c r="C51" s="30" t="inlineStr">
        <is>
          <t>in</t>
        </is>
      </c>
      <c r="D51" s="34">
        <f>IFERROR($B$51*25.4,NA())</f>
        <v/>
      </c>
      <c r="E51" s="30" t="inlineStr">
        <is>
          <t>mm</t>
        </is>
      </c>
    </row>
    <row r="52">
      <c r="A52" s="28" t="inlineStr">
        <is>
          <t>Drill pipe adjusted weight</t>
        </is>
      </c>
      <c r="B52" s="41" t="n">
        <v>20.9</v>
      </c>
      <c r="C52" s="30" t="inlineStr">
        <is>
          <t>lb/ft</t>
        </is>
      </c>
      <c r="D52" s="42">
        <f>IFERROR($B$52*1.488164,NA())</f>
        <v/>
      </c>
      <c r="E52" s="30" t="inlineStr">
        <is>
          <t>kg/m</t>
        </is>
      </c>
      <c r="F52" s="27" t="inlineStr">
        <is>
          <t>Nominal weight + tool joints (approx nominal x 1.07).</t>
        </is>
      </c>
    </row>
    <row r="53">
      <c r="A53" s="28" t="inlineStr">
        <is>
          <t>BHA weight per foot</t>
        </is>
      </c>
      <c r="B53" s="41" t="n">
        <v>92</v>
      </c>
      <c r="C53" s="30" t="inlineStr">
        <is>
          <t>lb/ft</t>
        </is>
      </c>
      <c r="D53" s="42">
        <f>IFERROR($B$53*1.488164,NA())</f>
        <v/>
      </c>
      <c r="E53" s="30" t="inlineStr">
        <is>
          <t>kg/m</t>
        </is>
      </c>
    </row>
    <row r="54">
      <c r="A54" s="28" t="inlineStr">
        <is>
          <t>BHA length</t>
        </is>
      </c>
      <c r="B54" s="31" t="n">
        <v>300</v>
      </c>
      <c r="C54" s="30" t="inlineStr">
        <is>
          <t>ft</t>
        </is>
      </c>
      <c r="D54" s="32">
        <f>IFERROR($B$54*0.3048,NA())</f>
        <v/>
      </c>
      <c r="E54" s="30" t="inlineStr">
        <is>
          <t>m</t>
        </is>
      </c>
    </row>
    <row r="55">
      <c r="A55" s="28" t="inlineStr">
        <is>
          <t>Friction factor - cased hole</t>
        </is>
      </c>
      <c r="B55" s="41" t="n">
        <v>0.25</v>
      </c>
      <c r="C55" s="30" t="inlineStr"/>
      <c r="F55" s="27" t="inlineStr">
        <is>
          <t>Typical 0.15-0.25 in WBM, lower in OBM.</t>
        </is>
      </c>
    </row>
    <row r="56">
      <c r="A56" s="28" t="inlineStr">
        <is>
          <t>Friction factor - open hole</t>
        </is>
      </c>
      <c r="B56" s="41" t="n">
        <v>0.3</v>
      </c>
      <c r="C56" s="30" t="inlineStr"/>
      <c r="F56" s="27" t="inlineStr">
        <is>
          <t>Typical 0.25-0.40 in WBM.</t>
        </is>
      </c>
    </row>
    <row r="58" ht="20" customHeight="1">
      <c r="A58" s="23" t="inlineStr">
        <is>
          <t>Subsea (leave 0 for land / surface BOP)</t>
        </is>
      </c>
      <c r="B58" s="24" t="n"/>
      <c r="C58" s="24" t="n"/>
      <c r="D58" s="24" t="n"/>
      <c r="E58" s="24" t="n"/>
      <c r="F58" s="24" t="n"/>
    </row>
    <row r="60">
      <c r="A60" s="25" t="inlineStr">
        <is>
          <t>Subsea</t>
        </is>
      </c>
      <c r="B60" s="26" t="n"/>
      <c r="C60" s="26" t="n"/>
      <c r="D60" s="26" t="n"/>
      <c r="E60" s="26" t="n"/>
      <c r="F60" s="26" t="n"/>
    </row>
    <row r="61">
      <c r="A61" s="28" t="inlineStr">
        <is>
          <t>Water depth</t>
        </is>
      </c>
      <c r="B61" s="31" t="n">
        <v>0</v>
      </c>
      <c r="C61" s="30" t="inlineStr">
        <is>
          <t>ft</t>
        </is>
      </c>
      <c r="D61" s="32">
        <f>IFERROR($B$61*0.3048,NA())</f>
        <v/>
      </c>
      <c r="E61" s="30" t="inlineStr">
        <is>
          <t>m</t>
        </is>
      </c>
    </row>
    <row r="62">
      <c r="A62" s="28" t="inlineStr">
        <is>
          <t>Air gap (RKB to sea level)</t>
        </is>
      </c>
      <c r="B62" s="31" t="n">
        <v>0</v>
      </c>
      <c r="C62" s="30" t="inlineStr">
        <is>
          <t>ft</t>
        </is>
      </c>
      <c r="D62" s="32">
        <f>IFERROR($B$62*0.3048,NA())</f>
        <v/>
      </c>
      <c r="E62" s="30" t="inlineStr">
        <is>
          <t>m</t>
        </is>
      </c>
    </row>
    <row r="63">
      <c r="A63" s="28" t="inlineStr">
        <is>
          <t>Seawater gradient</t>
        </is>
      </c>
      <c r="B63" s="33" t="n">
        <v>0.445</v>
      </c>
      <c r="C63" s="30" t="inlineStr">
        <is>
          <t>psi/ft</t>
        </is>
      </c>
      <c r="D63" s="34">
        <f>IFERROR($B$63*22.62059,NA())</f>
        <v/>
      </c>
      <c r="E63" s="30" t="inlineStr">
        <is>
          <t>kPa/m</t>
        </is>
      </c>
    </row>
    <row r="64">
      <c r="A64" s="28" t="inlineStr">
        <is>
          <t>Choke line friction at kill rate</t>
        </is>
      </c>
      <c r="B64" s="31" t="n">
        <v>0</v>
      </c>
      <c r="C64" s="30" t="inlineStr">
        <is>
          <t>psi</t>
        </is>
      </c>
      <c r="D64" s="32">
        <f>IFERROR($B$64*6.894757,NA())</f>
        <v/>
      </c>
      <c r="E64" s="30" t="inlineStr">
        <is>
          <t>kPa</t>
        </is>
      </c>
    </row>
    <row r="66" ht="20" customHeight="1">
      <c r="A66" s="23" t="inlineStr">
        <is>
          <t>Completion / Intervention Tubulars</t>
        </is>
      </c>
      <c r="B66" s="24" t="n"/>
      <c r="C66" s="24" t="n"/>
      <c r="D66" s="24" t="n"/>
      <c r="E66" s="24" t="n"/>
      <c r="F66" s="24" t="n"/>
    </row>
    <row r="68">
      <c r="A68" s="25" t="inlineStr">
        <is>
          <t>Tubing</t>
        </is>
      </c>
      <c r="B68" s="26" t="n"/>
      <c r="C68" s="26" t="n"/>
      <c r="D68" s="26" t="n"/>
      <c r="E68" s="26" t="n"/>
      <c r="F68" s="26" t="n"/>
    </row>
    <row r="69">
      <c r="A69" s="28" t="inlineStr">
        <is>
          <t>Tubing OD</t>
        </is>
      </c>
      <c r="B69" s="33" t="n">
        <v>3.5</v>
      </c>
      <c r="C69" s="30" t="inlineStr">
        <is>
          <t>in</t>
        </is>
      </c>
      <c r="D69" s="34">
        <f>IFERROR($B$69*25.4,NA())</f>
        <v/>
      </c>
      <c r="E69" s="30" t="inlineStr">
        <is>
          <t>mm</t>
        </is>
      </c>
    </row>
    <row r="70">
      <c r="A70" s="28" t="inlineStr">
        <is>
          <t>Tubing ID</t>
        </is>
      </c>
      <c r="B70" s="33" t="n">
        <v>2.992</v>
      </c>
      <c r="C70" s="30" t="inlineStr">
        <is>
          <t>in</t>
        </is>
      </c>
      <c r="D70" s="34">
        <f>IFERROR($B$70*25.4,NA())</f>
        <v/>
      </c>
      <c r="E70" s="30" t="inlineStr">
        <is>
          <t>mm</t>
        </is>
      </c>
    </row>
  </sheetData>
  <sheetProtection selectLockedCells="0" selectUnlockedCells="0" sheet="1" objects="0" insertRows="1" insertHyperlinks="1" autoFilter="1" scenarios="0" formatColumns="0" deleteColumns="1" insertColumns="1" pivotTables="1" deleteRows="1" formatCells="1" formatRows="0" sort="1"/>
  <mergeCells count="9">
    <mergeCell ref="A38:F38"/>
    <mergeCell ref="A16:F16"/>
    <mergeCell ref="A2:F2"/>
    <mergeCell ref="A28:F28"/>
    <mergeCell ref="A66:F66"/>
    <mergeCell ref="A1:F1"/>
    <mergeCell ref="A45:F45"/>
    <mergeCell ref="A6:F6"/>
    <mergeCell ref="A58:F58"/>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3.xml><?xml version="1.0" encoding="utf-8"?>
<worksheet xmlns="http://schemas.openxmlformats.org/spreadsheetml/2006/main">
  <sheetPr>
    <tabColor rgb="00808080"/>
    <outlinePr summaryBelow="1" summaryRight="1"/>
    <pageSetUpPr/>
  </sheetPr>
  <dimension ref="A1:H61"/>
  <sheetViews>
    <sheetView workbookViewId="0">
      <pane ySplit="8" topLeftCell="A9"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Tubular Library - API Catalog</t>
        </is>
      </c>
      <c r="B1" s="2" t="n"/>
      <c r="C1" s="2" t="n"/>
      <c r="D1" s="2" t="n"/>
      <c r="E1" s="2" t="n"/>
      <c r="F1" s="2" t="n"/>
    </row>
    <row r="2">
      <c r="A2" s="20" t="inlineStr">
        <is>
          <t>Standard drill pipe, HWDP, collars, casing, tubing and CT dimensions. Feeds the dropdowns and OD/ID auto-fill on the Kill Sheet.</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Catalog</t>
        </is>
      </c>
      <c r="B6" s="24" t="n"/>
      <c r="C6" s="24" t="n"/>
      <c r="D6" s="24" t="n"/>
      <c r="E6" s="24" t="n"/>
      <c r="F6" s="24" t="n"/>
    </row>
    <row r="7">
      <c r="A7" s="9" t="inlineStr">
        <is>
          <t>Nominal API dimensions. DP weights are nominal - for string weight use adjusted weight (incl. tool joints, ~7% higher). Pressure ratings are grade-specific: enter them on the Casing &amp; Tubular Design sheet.</t>
        </is>
      </c>
    </row>
    <row r="8">
      <c r="A8" s="43" t="inlineStr">
        <is>
          <t>Name</t>
        </is>
      </c>
      <c r="B8" s="43" t="inlineStr">
        <is>
          <t>OD (in)</t>
        </is>
      </c>
      <c r="C8" s="43" t="inlineStr">
        <is>
          <t>ID (in)</t>
        </is>
      </c>
      <c r="D8" s="43" t="inlineStr">
        <is>
          <t>Weight (lb/ft)</t>
        </is>
      </c>
      <c r="E8" s="43" t="inlineStr">
        <is>
          <t>Capacity (bbl/ft)</t>
        </is>
      </c>
      <c r="F8" s="43" t="inlineStr">
        <is>
          <t>Disp. closed (bbl/ft)</t>
        </is>
      </c>
      <c r="G8" s="43" t="inlineStr">
        <is>
          <t>Disp. open (bbl/ft)</t>
        </is>
      </c>
      <c r="H8" s="43" t="inlineStr">
        <is>
          <t>Wall (in)</t>
        </is>
      </c>
    </row>
    <row r="9">
      <c r="A9" s="44" t="inlineStr">
        <is>
          <t>DP 3-1/2 13.30#</t>
        </is>
      </c>
      <c r="B9" s="45" t="n">
        <v>3.5</v>
      </c>
      <c r="C9" s="45" t="n">
        <v>2.764</v>
      </c>
      <c r="D9" s="46" t="n">
        <v>13.3</v>
      </c>
      <c r="E9" s="47">
        <f>$C9^2/1029.4</f>
        <v/>
      </c>
      <c r="F9" s="47">
        <f>$B9^2/1029.4</f>
        <v/>
      </c>
      <c r="G9" s="47">
        <f>($B9^2-$C9^2)/1029.4</f>
        <v/>
      </c>
      <c r="H9" s="48">
        <f>($B9-$C9)/2</f>
        <v/>
      </c>
    </row>
    <row r="10">
      <c r="A10" s="44" t="inlineStr">
        <is>
          <t>DP 4 14.00#</t>
        </is>
      </c>
      <c r="B10" s="45" t="n">
        <v>4</v>
      </c>
      <c r="C10" s="45" t="n">
        <v>3.34</v>
      </c>
      <c r="D10" s="46" t="n">
        <v>14</v>
      </c>
      <c r="E10" s="47">
        <f>$C10^2/1029.4</f>
        <v/>
      </c>
      <c r="F10" s="47">
        <f>$B10^2/1029.4</f>
        <v/>
      </c>
      <c r="G10" s="47">
        <f>($B10^2-$C10^2)/1029.4</f>
        <v/>
      </c>
      <c r="H10" s="48">
        <f>($B10-$C10)/2</f>
        <v/>
      </c>
    </row>
    <row r="11">
      <c r="A11" s="44" t="inlineStr">
        <is>
          <t>DP 4-1/2 16.60#</t>
        </is>
      </c>
      <c r="B11" s="45" t="n">
        <v>4.5</v>
      </c>
      <c r="C11" s="45" t="n">
        <v>3.826</v>
      </c>
      <c r="D11" s="46" t="n">
        <v>16.6</v>
      </c>
      <c r="E11" s="47">
        <f>$C11^2/1029.4</f>
        <v/>
      </c>
      <c r="F11" s="47">
        <f>$B11^2/1029.4</f>
        <v/>
      </c>
      <c r="G11" s="47">
        <f>($B11^2-$C11^2)/1029.4</f>
        <v/>
      </c>
      <c r="H11" s="48">
        <f>($B11-$C11)/2</f>
        <v/>
      </c>
    </row>
    <row r="12">
      <c r="A12" s="44" t="inlineStr">
        <is>
          <t>DP 5 19.50#</t>
        </is>
      </c>
      <c r="B12" s="45" t="n">
        <v>5</v>
      </c>
      <c r="C12" s="45" t="n">
        <v>4.276</v>
      </c>
      <c r="D12" s="46" t="n">
        <v>19.5</v>
      </c>
      <c r="E12" s="47">
        <f>$C12^2/1029.4</f>
        <v/>
      </c>
      <c r="F12" s="47">
        <f>$B12^2/1029.4</f>
        <v/>
      </c>
      <c r="G12" s="47">
        <f>($B12^2-$C12^2)/1029.4</f>
        <v/>
      </c>
      <c r="H12" s="48">
        <f>($B12-$C12)/2</f>
        <v/>
      </c>
    </row>
    <row r="13">
      <c r="A13" s="44" t="inlineStr">
        <is>
          <t>DP 5 25.60#</t>
        </is>
      </c>
      <c r="B13" s="45" t="n">
        <v>5</v>
      </c>
      <c r="C13" s="45" t="n">
        <v>4</v>
      </c>
      <c r="D13" s="46" t="n">
        <v>25.6</v>
      </c>
      <c r="E13" s="47">
        <f>$C13^2/1029.4</f>
        <v/>
      </c>
      <c r="F13" s="47">
        <f>$B13^2/1029.4</f>
        <v/>
      </c>
      <c r="G13" s="47">
        <f>($B13^2-$C13^2)/1029.4</f>
        <v/>
      </c>
      <c r="H13" s="48">
        <f>($B13-$C13)/2</f>
        <v/>
      </c>
    </row>
    <row r="14">
      <c r="A14" s="44" t="inlineStr">
        <is>
          <t>DP 5-1/2 21.90#</t>
        </is>
      </c>
      <c r="B14" s="45" t="n">
        <v>5.5</v>
      </c>
      <c r="C14" s="45" t="n">
        <v>4.778</v>
      </c>
      <c r="D14" s="46" t="n">
        <v>21.9</v>
      </c>
      <c r="E14" s="47">
        <f>$C14^2/1029.4</f>
        <v/>
      </c>
      <c r="F14" s="47">
        <f>$B14^2/1029.4</f>
        <v/>
      </c>
      <c r="G14" s="47">
        <f>($B14^2-$C14^2)/1029.4</f>
        <v/>
      </c>
      <c r="H14" s="48">
        <f>($B14-$C14)/2</f>
        <v/>
      </c>
    </row>
    <row r="15">
      <c r="A15" s="44" t="inlineStr">
        <is>
          <t>DP 5-1/2 24.70#</t>
        </is>
      </c>
      <c r="B15" s="45" t="n">
        <v>5.5</v>
      </c>
      <c r="C15" s="45" t="n">
        <v>4.67</v>
      </c>
      <c r="D15" s="46" t="n">
        <v>24.7</v>
      </c>
      <c r="E15" s="47">
        <f>$C15^2/1029.4</f>
        <v/>
      </c>
      <c r="F15" s="47">
        <f>$B15^2/1029.4</f>
        <v/>
      </c>
      <c r="G15" s="47">
        <f>($B15^2-$C15^2)/1029.4</f>
        <v/>
      </c>
      <c r="H15" s="48">
        <f>($B15-$C15)/2</f>
        <v/>
      </c>
    </row>
    <row r="16">
      <c r="A16" s="44" t="inlineStr">
        <is>
          <t>DP 6-5/8 25.20#</t>
        </is>
      </c>
      <c r="B16" s="45" t="n">
        <v>6.625</v>
      </c>
      <c r="C16" s="45" t="n">
        <v>5.965</v>
      </c>
      <c r="D16" s="46" t="n">
        <v>25.2</v>
      </c>
      <c r="E16" s="47">
        <f>$C16^2/1029.4</f>
        <v/>
      </c>
      <c r="F16" s="47">
        <f>$B16^2/1029.4</f>
        <v/>
      </c>
      <c r="G16" s="47">
        <f>($B16^2-$C16^2)/1029.4</f>
        <v/>
      </c>
      <c r="H16" s="48">
        <f>($B16-$C16)/2</f>
        <v/>
      </c>
    </row>
    <row r="17">
      <c r="A17" s="44" t="inlineStr">
        <is>
          <t>HWDP 3-1/2 25.3#</t>
        </is>
      </c>
      <c r="B17" s="45" t="n">
        <v>3.5</v>
      </c>
      <c r="C17" s="45" t="n">
        <v>2.063</v>
      </c>
      <c r="D17" s="46" t="n">
        <v>25.3</v>
      </c>
      <c r="E17" s="47">
        <f>$C17^2/1029.4</f>
        <v/>
      </c>
      <c r="F17" s="47">
        <f>$B17^2/1029.4</f>
        <v/>
      </c>
      <c r="G17" s="47">
        <f>($B17^2-$C17^2)/1029.4</f>
        <v/>
      </c>
      <c r="H17" s="48">
        <f>($B17-$C17)/2</f>
        <v/>
      </c>
    </row>
    <row r="18">
      <c r="A18" s="44" t="inlineStr">
        <is>
          <t>HWDP 4 29.7#</t>
        </is>
      </c>
      <c r="B18" s="45" t="n">
        <v>4</v>
      </c>
      <c r="C18" s="45" t="n">
        <v>2.563</v>
      </c>
      <c r="D18" s="46" t="n">
        <v>29.7</v>
      </c>
      <c r="E18" s="47">
        <f>$C18^2/1029.4</f>
        <v/>
      </c>
      <c r="F18" s="47">
        <f>$B18^2/1029.4</f>
        <v/>
      </c>
      <c r="G18" s="47">
        <f>($B18^2-$C18^2)/1029.4</f>
        <v/>
      </c>
      <c r="H18" s="48">
        <f>($B18-$C18)/2</f>
        <v/>
      </c>
    </row>
    <row r="19">
      <c r="A19" s="44" t="inlineStr">
        <is>
          <t>HWDP 4-1/2 41.0#</t>
        </is>
      </c>
      <c r="B19" s="45" t="n">
        <v>4.5</v>
      </c>
      <c r="C19" s="45" t="n">
        <v>2.75</v>
      </c>
      <c r="D19" s="46" t="n">
        <v>41</v>
      </c>
      <c r="E19" s="47">
        <f>$C19^2/1029.4</f>
        <v/>
      </c>
      <c r="F19" s="47">
        <f>$B19^2/1029.4</f>
        <v/>
      </c>
      <c r="G19" s="47">
        <f>($B19^2-$C19^2)/1029.4</f>
        <v/>
      </c>
      <c r="H19" s="48">
        <f>($B19-$C19)/2</f>
        <v/>
      </c>
    </row>
    <row r="20">
      <c r="A20" s="44" t="inlineStr">
        <is>
          <t>HWDP 5 49.3#</t>
        </is>
      </c>
      <c r="B20" s="45" t="n">
        <v>5</v>
      </c>
      <c r="C20" s="45" t="n">
        <v>3</v>
      </c>
      <c r="D20" s="46" t="n">
        <v>49.3</v>
      </c>
      <c r="E20" s="47">
        <f>$C20^2/1029.4</f>
        <v/>
      </c>
      <c r="F20" s="47">
        <f>$B20^2/1029.4</f>
        <v/>
      </c>
      <c r="G20" s="47">
        <f>($B20^2-$C20^2)/1029.4</f>
        <v/>
      </c>
      <c r="H20" s="48">
        <f>($B20-$C20)/2</f>
        <v/>
      </c>
    </row>
    <row r="21">
      <c r="A21" s="44" t="inlineStr">
        <is>
          <t>HWDP 5-1/2 57.0#</t>
        </is>
      </c>
      <c r="B21" s="45" t="n">
        <v>5.5</v>
      </c>
      <c r="C21" s="45" t="n">
        <v>3.375</v>
      </c>
      <c r="D21" s="46" t="n">
        <v>57</v>
      </c>
      <c r="E21" s="47">
        <f>$C21^2/1029.4</f>
        <v/>
      </c>
      <c r="F21" s="47">
        <f>$B21^2/1029.4</f>
        <v/>
      </c>
      <c r="G21" s="47">
        <f>($B21^2-$C21^2)/1029.4</f>
        <v/>
      </c>
      <c r="H21" s="48">
        <f>($B21-$C21)/2</f>
        <v/>
      </c>
    </row>
    <row r="22">
      <c r="A22" s="44" t="inlineStr">
        <is>
          <t>DC 4-3/4 x 2-1/4</t>
        </is>
      </c>
      <c r="B22" s="45" t="n">
        <v>4.75</v>
      </c>
      <c r="C22" s="45" t="n">
        <v>2.25</v>
      </c>
      <c r="D22" s="46" t="n">
        <v>46.7</v>
      </c>
      <c r="E22" s="47">
        <f>$C22^2/1029.4</f>
        <v/>
      </c>
      <c r="F22" s="47">
        <f>$B22^2/1029.4</f>
        <v/>
      </c>
      <c r="G22" s="47">
        <f>($B22^2-$C22^2)/1029.4</f>
        <v/>
      </c>
      <c r="H22" s="48">
        <f>($B22-$C22)/2</f>
        <v/>
      </c>
    </row>
    <row r="23">
      <c r="A23" s="44" t="inlineStr">
        <is>
          <t>DC 6-1/4 x 2-13/16</t>
        </is>
      </c>
      <c r="B23" s="45" t="n">
        <v>6.25</v>
      </c>
      <c r="C23" s="45" t="n">
        <v>2.813</v>
      </c>
      <c r="D23" s="46" t="n">
        <v>82.5</v>
      </c>
      <c r="E23" s="47">
        <f>$C23^2/1029.4</f>
        <v/>
      </c>
      <c r="F23" s="47">
        <f>$B23^2/1029.4</f>
        <v/>
      </c>
      <c r="G23" s="47">
        <f>($B23^2-$C23^2)/1029.4</f>
        <v/>
      </c>
      <c r="H23" s="48">
        <f>($B23-$C23)/2</f>
        <v/>
      </c>
    </row>
    <row r="24">
      <c r="A24" s="44" t="inlineStr">
        <is>
          <t>DC 6-1/2 92#</t>
        </is>
      </c>
      <c r="B24" s="45" t="n">
        <v>6.5</v>
      </c>
      <c r="C24" s="45" t="n">
        <v>2.813</v>
      </c>
      <c r="D24" s="46" t="n">
        <v>91.59999999999999</v>
      </c>
      <c r="E24" s="47">
        <f>$C24^2/1029.4</f>
        <v/>
      </c>
      <c r="F24" s="47">
        <f>$B24^2/1029.4</f>
        <v/>
      </c>
      <c r="G24" s="47">
        <f>($B24^2-$C24^2)/1029.4</f>
        <v/>
      </c>
      <c r="H24" s="48">
        <f>($B24-$C24)/2</f>
        <v/>
      </c>
    </row>
    <row r="25">
      <c r="A25" s="44" t="inlineStr">
        <is>
          <t>DC 8 x 2-13/16</t>
        </is>
      </c>
      <c r="B25" s="45" t="n">
        <v>8</v>
      </c>
      <c r="C25" s="45" t="n">
        <v>2.813</v>
      </c>
      <c r="D25" s="46" t="n">
        <v>150.5</v>
      </c>
      <c r="E25" s="47">
        <f>$C25^2/1029.4</f>
        <v/>
      </c>
      <c r="F25" s="47">
        <f>$B25^2/1029.4</f>
        <v/>
      </c>
      <c r="G25" s="47">
        <f>($B25^2-$C25^2)/1029.4</f>
        <v/>
      </c>
      <c r="H25" s="48">
        <f>($B25-$C25)/2</f>
        <v/>
      </c>
    </row>
    <row r="26">
      <c r="A26" s="44" t="inlineStr">
        <is>
          <t>DC 9-1/2 x 3</t>
        </is>
      </c>
      <c r="B26" s="45" t="n">
        <v>9.5</v>
      </c>
      <c r="C26" s="45" t="n">
        <v>3</v>
      </c>
      <c r="D26" s="46" t="n">
        <v>217</v>
      </c>
      <c r="E26" s="47">
        <f>$C26^2/1029.4</f>
        <v/>
      </c>
      <c r="F26" s="47">
        <f>$B26^2/1029.4</f>
        <v/>
      </c>
      <c r="G26" s="47">
        <f>($B26^2-$C26^2)/1029.4</f>
        <v/>
      </c>
      <c r="H26" s="48">
        <f>($B26-$C26)/2</f>
        <v/>
      </c>
    </row>
    <row r="27">
      <c r="A27" s="44" t="inlineStr">
        <is>
          <t>CSG 13-3/8 68#</t>
        </is>
      </c>
      <c r="B27" s="45" t="n">
        <v>13.375</v>
      </c>
      <c r="C27" s="45" t="n">
        <v>12.415</v>
      </c>
      <c r="D27" s="46" t="n">
        <v>68</v>
      </c>
      <c r="E27" s="47">
        <f>$C27^2/1029.4</f>
        <v/>
      </c>
      <c r="F27" s="47">
        <f>$B27^2/1029.4</f>
        <v/>
      </c>
      <c r="G27" s="47">
        <f>($B27^2-$C27^2)/1029.4</f>
        <v/>
      </c>
      <c r="H27" s="48">
        <f>($B27-$C27)/2</f>
        <v/>
      </c>
    </row>
    <row r="28">
      <c r="A28" s="44" t="inlineStr">
        <is>
          <t>CSG 10-3/4 51#</t>
        </is>
      </c>
      <c r="B28" s="45" t="n">
        <v>10.75</v>
      </c>
      <c r="C28" s="45" t="n">
        <v>9.85</v>
      </c>
      <c r="D28" s="46" t="n">
        <v>51</v>
      </c>
      <c r="E28" s="47">
        <f>$C28^2/1029.4</f>
        <v/>
      </c>
      <c r="F28" s="47">
        <f>$B28^2/1029.4</f>
        <v/>
      </c>
      <c r="G28" s="47">
        <f>($B28^2-$C28^2)/1029.4</f>
        <v/>
      </c>
      <c r="H28" s="48">
        <f>($B28-$C28)/2</f>
        <v/>
      </c>
    </row>
    <row r="29">
      <c r="A29" s="44" t="inlineStr">
        <is>
          <t>CSG 9-5/8 43.5#</t>
        </is>
      </c>
      <c r="B29" s="45" t="n">
        <v>9.625</v>
      </c>
      <c r="C29" s="45" t="n">
        <v>8.755000000000001</v>
      </c>
      <c r="D29" s="46" t="n">
        <v>43.5</v>
      </c>
      <c r="E29" s="47">
        <f>$C29^2/1029.4</f>
        <v/>
      </c>
      <c r="F29" s="47">
        <f>$B29^2/1029.4</f>
        <v/>
      </c>
      <c r="G29" s="47">
        <f>($B29^2-$C29^2)/1029.4</f>
        <v/>
      </c>
      <c r="H29" s="48">
        <f>($B29-$C29)/2</f>
        <v/>
      </c>
    </row>
    <row r="30">
      <c r="A30" s="44" t="inlineStr">
        <is>
          <t>CSG 9-5/8 47#</t>
        </is>
      </c>
      <c r="B30" s="45" t="n">
        <v>9.625</v>
      </c>
      <c r="C30" s="45" t="n">
        <v>8.680999999999999</v>
      </c>
      <c r="D30" s="46" t="n">
        <v>47</v>
      </c>
      <c r="E30" s="47">
        <f>$C30^2/1029.4</f>
        <v/>
      </c>
      <c r="F30" s="47">
        <f>$B30^2/1029.4</f>
        <v/>
      </c>
      <c r="G30" s="47">
        <f>($B30^2-$C30^2)/1029.4</f>
        <v/>
      </c>
      <c r="H30" s="48">
        <f>($B30-$C30)/2</f>
        <v/>
      </c>
    </row>
    <row r="31">
      <c r="A31" s="44" t="inlineStr">
        <is>
          <t>CSG 9-5/8 53.5#</t>
        </is>
      </c>
      <c r="B31" s="45" t="n">
        <v>9.625</v>
      </c>
      <c r="C31" s="45" t="n">
        <v>8.535</v>
      </c>
      <c r="D31" s="46" t="n">
        <v>53.5</v>
      </c>
      <c r="E31" s="47">
        <f>$C31^2/1029.4</f>
        <v/>
      </c>
      <c r="F31" s="47">
        <f>$B31^2/1029.4</f>
        <v/>
      </c>
      <c r="G31" s="47">
        <f>($B31^2-$C31^2)/1029.4</f>
        <v/>
      </c>
      <c r="H31" s="48">
        <f>($B31-$C31)/2</f>
        <v/>
      </c>
    </row>
    <row r="32">
      <c r="A32" s="44" t="inlineStr">
        <is>
          <t>CSG 7-5/8 39#</t>
        </is>
      </c>
      <c r="B32" s="45" t="n">
        <v>7.625</v>
      </c>
      <c r="C32" s="45" t="n">
        <v>6.625</v>
      </c>
      <c r="D32" s="46" t="n">
        <v>39</v>
      </c>
      <c r="E32" s="47">
        <f>$C32^2/1029.4</f>
        <v/>
      </c>
      <c r="F32" s="47">
        <f>$B32^2/1029.4</f>
        <v/>
      </c>
      <c r="G32" s="47">
        <f>($B32^2-$C32^2)/1029.4</f>
        <v/>
      </c>
      <c r="H32" s="48">
        <f>($B32-$C32)/2</f>
        <v/>
      </c>
    </row>
    <row r="33">
      <c r="A33" s="44" t="inlineStr">
        <is>
          <t>CSG 7 26#</t>
        </is>
      </c>
      <c r="B33" s="45" t="n">
        <v>7</v>
      </c>
      <c r="C33" s="45" t="n">
        <v>6.276</v>
      </c>
      <c r="D33" s="46" t="n">
        <v>26</v>
      </c>
      <c r="E33" s="47">
        <f>$C33^2/1029.4</f>
        <v/>
      </c>
      <c r="F33" s="47">
        <f>$B33^2/1029.4</f>
        <v/>
      </c>
      <c r="G33" s="47">
        <f>($B33^2-$C33^2)/1029.4</f>
        <v/>
      </c>
      <c r="H33" s="48">
        <f>($B33-$C33)/2</f>
        <v/>
      </c>
    </row>
    <row r="34">
      <c r="A34" s="44" t="inlineStr">
        <is>
          <t>CSG 7 29#</t>
        </is>
      </c>
      <c r="B34" s="45" t="n">
        <v>7</v>
      </c>
      <c r="C34" s="45" t="n">
        <v>6.184</v>
      </c>
      <c r="D34" s="46" t="n">
        <v>29</v>
      </c>
      <c r="E34" s="47">
        <f>$C34^2/1029.4</f>
        <v/>
      </c>
      <c r="F34" s="47">
        <f>$B34^2/1029.4</f>
        <v/>
      </c>
      <c r="G34" s="47">
        <f>($B34^2-$C34^2)/1029.4</f>
        <v/>
      </c>
      <c r="H34" s="48">
        <f>($B34-$C34)/2</f>
        <v/>
      </c>
    </row>
    <row r="35">
      <c r="A35" s="44" t="inlineStr">
        <is>
          <t>CSG 7 32#</t>
        </is>
      </c>
      <c r="B35" s="45" t="n">
        <v>7</v>
      </c>
      <c r="C35" s="45" t="n">
        <v>6.094</v>
      </c>
      <c r="D35" s="46" t="n">
        <v>32</v>
      </c>
      <c r="E35" s="47">
        <f>$C35^2/1029.4</f>
        <v/>
      </c>
      <c r="F35" s="47">
        <f>$B35^2/1029.4</f>
        <v/>
      </c>
      <c r="G35" s="47">
        <f>($B35^2-$C35^2)/1029.4</f>
        <v/>
      </c>
      <c r="H35" s="48">
        <f>($B35-$C35)/2</f>
        <v/>
      </c>
    </row>
    <row r="36">
      <c r="A36" s="44" t="inlineStr">
        <is>
          <t>CSG 5-1/2 17#</t>
        </is>
      </c>
      <c r="B36" s="45" t="n">
        <v>5.5</v>
      </c>
      <c r="C36" s="45" t="n">
        <v>4.892</v>
      </c>
      <c r="D36" s="46" t="n">
        <v>17</v>
      </c>
      <c r="E36" s="47">
        <f>$C36^2/1029.4</f>
        <v/>
      </c>
      <c r="F36" s="47">
        <f>$B36^2/1029.4</f>
        <v/>
      </c>
      <c r="G36" s="47">
        <f>($B36^2-$C36^2)/1029.4</f>
        <v/>
      </c>
      <c r="H36" s="48">
        <f>($B36-$C36)/2</f>
        <v/>
      </c>
    </row>
    <row r="37">
      <c r="A37" s="44" t="inlineStr">
        <is>
          <t>CSG 5-1/2 20#</t>
        </is>
      </c>
      <c r="B37" s="45" t="n">
        <v>5.5</v>
      </c>
      <c r="C37" s="45" t="n">
        <v>4.778</v>
      </c>
      <c r="D37" s="46" t="n">
        <v>20</v>
      </c>
      <c r="E37" s="47">
        <f>$C37^2/1029.4</f>
        <v/>
      </c>
      <c r="F37" s="47">
        <f>$B37^2/1029.4</f>
        <v/>
      </c>
      <c r="G37" s="47">
        <f>($B37^2-$C37^2)/1029.4</f>
        <v/>
      </c>
      <c r="H37" s="48">
        <f>($B37-$C37)/2</f>
        <v/>
      </c>
    </row>
    <row r="38">
      <c r="A38" s="44" t="inlineStr">
        <is>
          <t>CSG 5-1/2 23#</t>
        </is>
      </c>
      <c r="B38" s="45" t="n">
        <v>5.5</v>
      </c>
      <c r="C38" s="45" t="n">
        <v>4.67</v>
      </c>
      <c r="D38" s="46" t="n">
        <v>23</v>
      </c>
      <c r="E38" s="47">
        <f>$C38^2/1029.4</f>
        <v/>
      </c>
      <c r="F38" s="47">
        <f>$B38^2/1029.4</f>
        <v/>
      </c>
      <c r="G38" s="47">
        <f>($B38^2-$C38^2)/1029.4</f>
        <v/>
      </c>
      <c r="H38" s="48">
        <f>($B38-$C38)/2</f>
        <v/>
      </c>
    </row>
    <row r="39">
      <c r="A39" s="44" t="inlineStr">
        <is>
          <t>TBG 2-3/8 4.7#</t>
        </is>
      </c>
      <c r="B39" s="45" t="n">
        <v>2.375</v>
      </c>
      <c r="C39" s="45" t="n">
        <v>1.995</v>
      </c>
      <c r="D39" s="46" t="n">
        <v>4.7</v>
      </c>
      <c r="E39" s="47">
        <f>$C39^2/1029.4</f>
        <v/>
      </c>
      <c r="F39" s="47">
        <f>$B39^2/1029.4</f>
        <v/>
      </c>
      <c r="G39" s="47">
        <f>($B39^2-$C39^2)/1029.4</f>
        <v/>
      </c>
      <c r="H39" s="48">
        <f>($B39-$C39)/2</f>
        <v/>
      </c>
    </row>
    <row r="40">
      <c r="A40" s="44" t="inlineStr">
        <is>
          <t>TBG 2-7/8 6.5#</t>
        </is>
      </c>
      <c r="B40" s="45" t="n">
        <v>2.875</v>
      </c>
      <c r="C40" s="45" t="n">
        <v>2.441</v>
      </c>
      <c r="D40" s="46" t="n">
        <v>6.5</v>
      </c>
      <c r="E40" s="47">
        <f>$C40^2/1029.4</f>
        <v/>
      </c>
      <c r="F40" s="47">
        <f>$B40^2/1029.4</f>
        <v/>
      </c>
      <c r="G40" s="47">
        <f>($B40^2-$C40^2)/1029.4</f>
        <v/>
      </c>
      <c r="H40" s="48">
        <f>($B40-$C40)/2</f>
        <v/>
      </c>
    </row>
    <row r="41">
      <c r="A41" s="44" t="inlineStr">
        <is>
          <t>TBG 3-1/2 9.3#</t>
        </is>
      </c>
      <c r="B41" s="45" t="n">
        <v>3.5</v>
      </c>
      <c r="C41" s="45" t="n">
        <v>2.992</v>
      </c>
      <c r="D41" s="46" t="n">
        <v>9.300000000000001</v>
      </c>
      <c r="E41" s="47">
        <f>$C41^2/1029.4</f>
        <v/>
      </c>
      <c r="F41" s="47">
        <f>$B41^2/1029.4</f>
        <v/>
      </c>
      <c r="G41" s="47">
        <f>($B41^2-$C41^2)/1029.4</f>
        <v/>
      </c>
      <c r="H41" s="48">
        <f>($B41-$C41)/2</f>
        <v/>
      </c>
    </row>
    <row r="42">
      <c r="A42" s="44" t="inlineStr">
        <is>
          <t>TBG 4 11#</t>
        </is>
      </c>
      <c r="B42" s="45" t="n">
        <v>4</v>
      </c>
      <c r="C42" s="45" t="n">
        <v>3.476</v>
      </c>
      <c r="D42" s="46" t="n">
        <v>11</v>
      </c>
      <c r="E42" s="47">
        <f>$C42^2/1029.4</f>
        <v/>
      </c>
      <c r="F42" s="47">
        <f>$B42^2/1029.4</f>
        <v/>
      </c>
      <c r="G42" s="47">
        <f>($B42^2-$C42^2)/1029.4</f>
        <v/>
      </c>
      <c r="H42" s="48">
        <f>($B42-$C42)/2</f>
        <v/>
      </c>
    </row>
    <row r="43">
      <c r="A43" s="44" t="inlineStr">
        <is>
          <t>TBG 4-1/2 12.75#</t>
        </is>
      </c>
      <c r="B43" s="45" t="n">
        <v>4.5</v>
      </c>
      <c r="C43" s="45" t="n">
        <v>3.958</v>
      </c>
      <c r="D43" s="46" t="n">
        <v>12.75</v>
      </c>
      <c r="E43" s="47">
        <f>$C43^2/1029.4</f>
        <v/>
      </c>
      <c r="F43" s="47">
        <f>$B43^2/1029.4</f>
        <v/>
      </c>
      <c r="G43" s="47">
        <f>($B43^2-$C43^2)/1029.4</f>
        <v/>
      </c>
      <c r="H43" s="48">
        <f>($B43-$C43)/2</f>
        <v/>
      </c>
    </row>
    <row r="44">
      <c r="A44" s="44" t="inlineStr">
        <is>
          <t>CT 1-1/2 x 0.109w</t>
        </is>
      </c>
      <c r="B44" s="45" t="n">
        <v>1.5</v>
      </c>
      <c r="C44" s="45" t="n">
        <v>1.282</v>
      </c>
      <c r="D44" s="46" t="n">
        <v>1.62</v>
      </c>
      <c r="E44" s="47">
        <f>$C44^2/1029.4</f>
        <v/>
      </c>
      <c r="F44" s="47">
        <f>$B44^2/1029.4</f>
        <v/>
      </c>
      <c r="G44" s="47">
        <f>($B44^2-$C44^2)/1029.4</f>
        <v/>
      </c>
      <c r="H44" s="48">
        <f>($B44-$C44)/2</f>
        <v/>
      </c>
    </row>
    <row r="45">
      <c r="A45" s="44" t="inlineStr">
        <is>
          <t>CT 1-3/4 x 0.134w</t>
        </is>
      </c>
      <c r="B45" s="45" t="n">
        <v>1.75</v>
      </c>
      <c r="C45" s="45" t="n">
        <v>1.482</v>
      </c>
      <c r="D45" s="46" t="n">
        <v>2.31</v>
      </c>
      <c r="E45" s="47">
        <f>$C45^2/1029.4</f>
        <v/>
      </c>
      <c r="F45" s="47">
        <f>$B45^2/1029.4</f>
        <v/>
      </c>
      <c r="G45" s="47">
        <f>($B45^2-$C45^2)/1029.4</f>
        <v/>
      </c>
      <c r="H45" s="48">
        <f>($B45-$C45)/2</f>
        <v/>
      </c>
    </row>
    <row r="46">
      <c r="A46" s="44" t="inlineStr">
        <is>
          <t>CT 2 x 0.156w</t>
        </is>
      </c>
      <c r="B46" s="45" t="n">
        <v>2</v>
      </c>
      <c r="C46" s="45" t="n">
        <v>1.688</v>
      </c>
      <c r="D46" s="46" t="n">
        <v>3.07</v>
      </c>
      <c r="E46" s="47">
        <f>$C46^2/1029.4</f>
        <v/>
      </c>
      <c r="F46" s="47">
        <f>$B46^2/1029.4</f>
        <v/>
      </c>
      <c r="G46" s="47">
        <f>($B46^2-$C46^2)/1029.4</f>
        <v/>
      </c>
      <c r="H46" s="48">
        <f>($B46-$C46)/2</f>
        <v/>
      </c>
    </row>
    <row r="47">
      <c r="A47" s="44" t="inlineStr">
        <is>
          <t>CT 2-3/8 x 0.175w</t>
        </is>
      </c>
      <c r="B47" s="45" t="n">
        <v>2.375</v>
      </c>
      <c r="C47" s="45" t="n">
        <v>2.025</v>
      </c>
      <c r="D47" s="46" t="n">
        <v>4.11</v>
      </c>
      <c r="E47" s="47">
        <f>$C47^2/1029.4</f>
        <v/>
      </c>
      <c r="F47" s="47">
        <f>$B47^2/1029.4</f>
        <v/>
      </c>
      <c r="G47" s="47">
        <f>($B47^2-$C47^2)/1029.4</f>
        <v/>
      </c>
      <c r="H47" s="48">
        <f>($B47-$C47)/2</f>
        <v/>
      </c>
    </row>
    <row r="49" ht="20" customHeight="1">
      <c r="A49" s="23" t="inlineStr">
        <is>
          <t>Lookup Calculator</t>
        </is>
      </c>
      <c r="B49" s="24" t="n"/>
      <c r="C49" s="24" t="n"/>
      <c r="D49" s="24" t="n"/>
      <c r="E49" s="24" t="n"/>
      <c r="F49" s="24" t="n"/>
    </row>
    <row r="51">
      <c r="A51" s="25" t="inlineStr">
        <is>
          <t>Pipe Properties Lookup</t>
        </is>
      </c>
      <c r="B51" s="26" t="n"/>
      <c r="C51" s="26" t="n"/>
      <c r="D51" s="26" t="n"/>
      <c r="E51" s="26" t="n"/>
      <c r="F51" s="49" t="inlineStr">
        <is>
          <t>Capacity = ID^2/1029.4;  Disp closed = OD^2/1029.4;  Disp open = (OD^2-ID^2)/1029.4</t>
        </is>
      </c>
    </row>
    <row r="52">
      <c r="A52" t="inlineStr"/>
      <c r="F52" s="27" t="inlineStr">
        <is>
          <t>Type or pick any catalog name (dropdowns available on the Kill Sheet).</t>
        </is>
      </c>
    </row>
    <row r="53">
      <c r="A53" s="28" t="inlineStr">
        <is>
          <t>Catalog name</t>
        </is>
      </c>
      <c r="B53" s="29" t="inlineStr">
        <is>
          <t>DP 5 19.50#</t>
        </is>
      </c>
      <c r="C53" s="30" t="inlineStr"/>
    </row>
    <row r="54">
      <c r="A54" s="28" t="inlineStr">
        <is>
          <t>OD</t>
        </is>
      </c>
      <c r="B54" s="50">
        <f>VLOOKUP($B$53,TL_Table,2,FALSE)</f>
        <v/>
      </c>
      <c r="C54" s="30" t="inlineStr">
        <is>
          <t>in</t>
        </is>
      </c>
      <c r="D54" s="34">
        <f>IFERROR($B$54*25.4,NA())</f>
        <v/>
      </c>
      <c r="E54" s="30" t="inlineStr">
        <is>
          <t>mm</t>
        </is>
      </c>
    </row>
    <row r="55">
      <c r="A55" s="28" t="inlineStr">
        <is>
          <t>ID</t>
        </is>
      </c>
      <c r="B55" s="50">
        <f>VLOOKUP($B$53,TL_Table,3,FALSE)</f>
        <v/>
      </c>
      <c r="C55" s="30" t="inlineStr">
        <is>
          <t>in</t>
        </is>
      </c>
      <c r="D55" s="34">
        <f>IFERROR($B$55*25.4,NA())</f>
        <v/>
      </c>
      <c r="E55" s="30" t="inlineStr">
        <is>
          <t>mm</t>
        </is>
      </c>
    </row>
    <row r="56">
      <c r="A56" s="28" t="inlineStr">
        <is>
          <t>Nominal weight</t>
        </is>
      </c>
      <c r="B56" s="51">
        <f>VLOOKUP($B$53,TL_Table,4,FALSE)</f>
        <v/>
      </c>
      <c r="C56" s="30" t="inlineStr">
        <is>
          <t>lb/ft</t>
        </is>
      </c>
      <c r="D56" s="42">
        <f>IFERROR($B$56*1.488164,NA())</f>
        <v/>
      </c>
      <c r="E56" s="30" t="inlineStr">
        <is>
          <t>kg/m</t>
        </is>
      </c>
    </row>
    <row r="57">
      <c r="A57" s="28" t="inlineStr">
        <is>
          <t>Capacity</t>
        </is>
      </c>
      <c r="B57" s="52">
        <f>$B$55^2/1029.4</f>
        <v/>
      </c>
      <c r="C57" s="30" t="inlineStr">
        <is>
          <t>bbl/ft</t>
        </is>
      </c>
      <c r="D57" s="53">
        <f>IFERROR($B$57*0.5216119,NA())</f>
        <v/>
      </c>
      <c r="E57" s="30" t="inlineStr">
        <is>
          <t>m3/m</t>
        </is>
      </c>
    </row>
    <row r="58">
      <c r="A58" s="28" t="inlineStr">
        <is>
          <t>Displacement (closed end)</t>
        </is>
      </c>
      <c r="B58" s="52">
        <f>$B$54^2/1029.4</f>
        <v/>
      </c>
      <c r="C58" s="30" t="inlineStr">
        <is>
          <t>bbl/ft</t>
        </is>
      </c>
      <c r="D58" s="53">
        <f>IFERROR($B$58*0.5216119,NA())</f>
        <v/>
      </c>
      <c r="E58" s="30" t="inlineStr">
        <is>
          <t>m3/m</t>
        </is>
      </c>
    </row>
    <row r="59">
      <c r="A59" s="28" t="inlineStr">
        <is>
          <t>Displacement (open end)</t>
        </is>
      </c>
      <c r="B59" s="52">
        <f>($B$54^2-$B$55^2)/1029.4</f>
        <v/>
      </c>
      <c r="C59" s="30" t="inlineStr">
        <is>
          <t>bbl/ft</t>
        </is>
      </c>
      <c r="D59" s="53">
        <f>IFERROR($B$59*0.5216119,NA())</f>
        <v/>
      </c>
      <c r="E59" s="30" t="inlineStr">
        <is>
          <t>m3/m</t>
        </is>
      </c>
    </row>
    <row r="60">
      <c r="A60" s="28" t="inlineStr">
        <is>
          <t>Hole / casing ID for annulus</t>
        </is>
      </c>
      <c r="B60" s="33" t="n">
        <v>8.680999999999999</v>
      </c>
      <c r="C60" s="30" t="inlineStr">
        <is>
          <t>in</t>
        </is>
      </c>
      <c r="D60" s="34">
        <f>IFERROR($B$60*25.4,NA())</f>
        <v/>
      </c>
      <c r="E60" s="30" t="inlineStr">
        <is>
          <t>mm</t>
        </is>
      </c>
    </row>
    <row r="61">
      <c r="A61" s="28" t="inlineStr">
        <is>
          <t>Annular capacity around pipe</t>
        </is>
      </c>
      <c r="B61" s="52">
        <f>($B$60^2-$B$54^2)/1029.4</f>
        <v/>
      </c>
      <c r="C61" s="30" t="inlineStr">
        <is>
          <t>bbl/ft</t>
        </is>
      </c>
      <c r="D61" s="53">
        <f>IFERROR($B$61*0.5216119,NA())</f>
        <v/>
      </c>
      <c r="E61" s="30" t="inlineStr">
        <is>
          <t>m3/m</t>
        </is>
      </c>
    </row>
  </sheetData>
  <sheetProtection selectLockedCells="0" selectUnlockedCells="0" sheet="1" objects="0" insertRows="1" insertHyperlinks="1" autoFilter="1" scenarios="0" formatColumns="0" deleteColumns="1" insertColumns="1" pivotTables="1" deleteRows="1" formatCells="1" formatRows="0" sort="1"/>
  <mergeCells count="4">
    <mergeCell ref="A2:F2"/>
    <mergeCell ref="A6:F6"/>
    <mergeCell ref="A1:F1"/>
    <mergeCell ref="A49:F49"/>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4.xml><?xml version="1.0" encoding="utf-8"?>
<worksheet xmlns="http://schemas.openxmlformats.org/spreadsheetml/2006/main">
  <sheetPr>
    <tabColor rgb="00808080"/>
    <outlinePr summaryBelow="1" summaryRight="1"/>
    <pageSetUpPr/>
  </sheetPr>
  <dimension ref="A1:F78"/>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Unit Conversions</t>
        </is>
      </c>
      <c r="B1" s="2" t="n"/>
      <c r="C1" s="2" t="n"/>
      <c r="D1" s="2" t="n"/>
      <c r="E1" s="2" t="n"/>
      <c r="F1" s="2" t="n"/>
    </row>
    <row r="2">
      <c r="A2" s="20" t="inlineStr">
        <is>
          <t>Live two-way converters for common oilfield quantities, plus the full factor table</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Live Converters (enter a field-unit value; SI computes)</t>
        </is>
      </c>
      <c r="B6" s="24" t="n"/>
      <c r="C6" s="24" t="n"/>
      <c r="D6" s="24" t="n"/>
      <c r="E6" s="24" t="n"/>
      <c r="F6" s="24" t="n"/>
    </row>
    <row r="8">
      <c r="A8" s="25" t="inlineStr">
        <is>
          <t>Field -&gt; SI</t>
        </is>
      </c>
      <c r="B8" s="26" t="n"/>
      <c r="C8" s="26" t="n"/>
      <c r="D8" s="26" t="n"/>
      <c r="E8" s="26" t="n"/>
      <c r="F8" s="26" t="n"/>
    </row>
    <row r="9">
      <c r="A9" t="inlineStr"/>
      <c r="F9" s="27" t="inlineStr">
        <is>
          <t>Yellow cells are inputs; SI Value column converts live.</t>
        </is>
      </c>
    </row>
    <row r="10">
      <c r="A10" s="28" t="inlineStr">
        <is>
          <t>Density  (ppg)</t>
        </is>
      </c>
      <c r="B10" s="35" t="n">
        <v>12.5</v>
      </c>
      <c r="C10" s="30" t="inlineStr">
        <is>
          <t>ppg</t>
        </is>
      </c>
      <c r="D10" s="36">
        <f>IFERROR($B$10*119.8264,NA())</f>
        <v/>
      </c>
      <c r="E10" s="30" t="inlineStr">
        <is>
          <t>kg/m3</t>
        </is>
      </c>
    </row>
    <row r="11">
      <c r="A11" s="28" t="inlineStr">
        <is>
          <t>Pressure  (psi)</t>
        </is>
      </c>
      <c r="B11" s="35" t="n">
        <v>5000</v>
      </c>
      <c r="C11" s="30" t="inlineStr">
        <is>
          <t>psi</t>
        </is>
      </c>
      <c r="D11" s="36">
        <f>IFERROR($B$11*6.894757,NA())</f>
        <v/>
      </c>
      <c r="E11" s="30" t="inlineStr">
        <is>
          <t>kPa</t>
        </is>
      </c>
    </row>
    <row r="12">
      <c r="A12" s="28" t="inlineStr">
        <is>
          <t>Pressure gradient  (psi/ft)</t>
        </is>
      </c>
      <c r="B12" s="35" t="n">
        <v>0.65</v>
      </c>
      <c r="C12" s="30" t="inlineStr">
        <is>
          <t>psi/ft</t>
        </is>
      </c>
      <c r="D12" s="36">
        <f>IFERROR($B$12*22.62059,NA())</f>
        <v/>
      </c>
      <c r="E12" s="30" t="inlineStr">
        <is>
          <t>kPa/m</t>
        </is>
      </c>
    </row>
    <row r="13">
      <c r="A13" s="28" t="inlineStr">
        <is>
          <t>Length / depth  (ft)</t>
        </is>
      </c>
      <c r="B13" s="31" t="n">
        <v>10000</v>
      </c>
      <c r="C13" s="30" t="inlineStr">
        <is>
          <t>ft</t>
        </is>
      </c>
      <c r="D13" s="32">
        <f>IFERROR($B$13*0.3048,NA())</f>
        <v/>
      </c>
      <c r="E13" s="30" t="inlineStr">
        <is>
          <t>m</t>
        </is>
      </c>
    </row>
    <row r="14">
      <c r="A14" s="28" t="inlineStr">
        <is>
          <t>Diameter  (in)</t>
        </is>
      </c>
      <c r="B14" s="35" t="n">
        <v>8.5</v>
      </c>
      <c r="C14" s="30" t="inlineStr">
        <is>
          <t>in</t>
        </is>
      </c>
      <c r="D14" s="36">
        <f>IFERROR($B$14*25.4,NA())</f>
        <v/>
      </c>
      <c r="E14" s="30" t="inlineStr">
        <is>
          <t>mm</t>
        </is>
      </c>
    </row>
    <row r="15">
      <c r="A15" s="28" t="inlineStr">
        <is>
          <t>Volume  (bbl)</t>
        </is>
      </c>
      <c r="B15" s="35" t="n">
        <v>500</v>
      </c>
      <c r="C15" s="30" t="inlineStr">
        <is>
          <t>bbl</t>
        </is>
      </c>
      <c r="D15" s="36">
        <f>IFERROR($B$15*0.1589873,NA())</f>
        <v/>
      </c>
      <c r="E15" s="30" t="inlineStr">
        <is>
          <t>m3</t>
        </is>
      </c>
    </row>
    <row r="16">
      <c r="A16" s="28" t="inlineStr">
        <is>
          <t>Volume (small)  (gal)</t>
        </is>
      </c>
      <c r="B16" s="35" t="n">
        <v>42</v>
      </c>
      <c r="C16" s="30" t="inlineStr">
        <is>
          <t>gal</t>
        </is>
      </c>
      <c r="D16" s="36">
        <f>IFERROR($B$16*3.785412,NA())</f>
        <v/>
      </c>
      <c r="E16" s="30" t="inlineStr">
        <is>
          <t>L</t>
        </is>
      </c>
    </row>
    <row r="17">
      <c r="A17" s="28" t="inlineStr">
        <is>
          <t>Capacity  (bbl/ft)</t>
        </is>
      </c>
      <c r="B17" s="35" t="n">
        <v>0.0459</v>
      </c>
      <c r="C17" s="30" t="inlineStr">
        <is>
          <t>bbl/ft</t>
        </is>
      </c>
      <c r="D17" s="36">
        <f>IFERROR($B$17*0.5216119,NA())</f>
        <v/>
      </c>
      <c r="E17" s="30" t="inlineStr">
        <is>
          <t>m3/m</t>
        </is>
      </c>
    </row>
    <row r="18">
      <c r="A18" s="28" t="inlineStr">
        <is>
          <t>Flow rate  (gpm)</t>
        </is>
      </c>
      <c r="B18" s="35" t="n">
        <v>350</v>
      </c>
      <c r="C18" s="30" t="inlineStr">
        <is>
          <t>gpm</t>
        </is>
      </c>
      <c r="D18" s="36">
        <f>IFERROR($B$18*3.785412,NA())</f>
        <v/>
      </c>
      <c r="E18" s="30" t="inlineStr">
        <is>
          <t>L/min</t>
        </is>
      </c>
    </row>
    <row r="19">
      <c r="A19" s="28" t="inlineStr">
        <is>
          <t>Flow rate  (bbl/min)</t>
        </is>
      </c>
      <c r="B19" s="35" t="n">
        <v>8.5</v>
      </c>
      <c r="C19" s="30" t="inlineStr">
        <is>
          <t>bbl/min</t>
        </is>
      </c>
      <c r="D19" s="36">
        <f>IFERROR($B$19*0.1589873,NA())</f>
        <v/>
      </c>
      <c r="E19" s="30" t="inlineStr">
        <is>
          <t>m3/min</t>
        </is>
      </c>
    </row>
    <row r="20">
      <c r="A20" s="28" t="inlineStr">
        <is>
          <t>Velocity  (ft/min)</t>
        </is>
      </c>
      <c r="B20" s="35" t="n">
        <v>150</v>
      </c>
      <c r="C20" s="30" t="inlineStr">
        <is>
          <t>ft/min</t>
        </is>
      </c>
      <c r="D20" s="36">
        <f>IFERROR($B$20*0.3048,NA())</f>
        <v/>
      </c>
      <c r="E20" s="30" t="inlineStr">
        <is>
          <t>m/min</t>
        </is>
      </c>
    </row>
    <row r="21">
      <c r="A21" s="28" t="inlineStr">
        <is>
          <t>Force  (lbf)</t>
        </is>
      </c>
      <c r="B21" s="31" t="n">
        <v>45000</v>
      </c>
      <c r="C21" s="30" t="inlineStr">
        <is>
          <t>lbf</t>
        </is>
      </c>
      <c r="D21" s="32">
        <f>IFERROR($B$21*0.004448222,NA())</f>
        <v/>
      </c>
      <c r="E21" s="30" t="inlineStr">
        <is>
          <t>kN</t>
        </is>
      </c>
    </row>
    <row r="22">
      <c r="A22" s="28" t="inlineStr">
        <is>
          <t>Mass  (lbm)</t>
        </is>
      </c>
      <c r="B22" s="31" t="n">
        <v>25000</v>
      </c>
      <c r="C22" s="30" t="inlineStr">
        <is>
          <t>lbm</t>
        </is>
      </c>
      <c r="D22" s="32">
        <f>IFERROR($B$22*0.4535924,NA())</f>
        <v/>
      </c>
      <c r="E22" s="30" t="inlineStr">
        <is>
          <t>kg</t>
        </is>
      </c>
    </row>
    <row r="23">
      <c r="A23" s="28" t="inlineStr">
        <is>
          <t>Weight per length  (lb/ft)</t>
        </is>
      </c>
      <c r="B23" s="35" t="n">
        <v>19.5</v>
      </c>
      <c r="C23" s="30" t="inlineStr">
        <is>
          <t>lb/ft</t>
        </is>
      </c>
      <c r="D23" s="36">
        <f>IFERROR($B$23*1.488164,NA())</f>
        <v/>
      </c>
      <c r="E23" s="30" t="inlineStr">
        <is>
          <t>kg/m</t>
        </is>
      </c>
    </row>
    <row r="24">
      <c r="A24" s="28" t="inlineStr">
        <is>
          <t>Power  (hp)</t>
        </is>
      </c>
      <c r="B24" s="35" t="n">
        <v>1600</v>
      </c>
      <c r="C24" s="30" t="inlineStr">
        <is>
          <t>hp</t>
        </is>
      </c>
      <c r="D24" s="36">
        <f>IFERROR($B$24*0.7456999,NA())</f>
        <v/>
      </c>
      <c r="E24" s="30" t="inlineStr">
        <is>
          <t>kW</t>
        </is>
      </c>
    </row>
    <row r="26">
      <c r="A26" s="25" t="inlineStr">
        <is>
          <t>Temperature</t>
        </is>
      </c>
      <c r="B26" s="26" t="n"/>
      <c r="C26" s="26" t="n"/>
      <c r="D26" s="26" t="n"/>
      <c r="E26" s="26" t="n"/>
      <c r="F26" s="49" t="inlineStr">
        <is>
          <t>degC = (degF - 32) / 1.8</t>
        </is>
      </c>
    </row>
    <row r="27">
      <c r="A27" s="28" t="inlineStr">
        <is>
          <t>Temperature</t>
        </is>
      </c>
      <c r="B27" s="37" t="n">
        <v>250</v>
      </c>
      <c r="C27" s="30" t="inlineStr"/>
      <c r="F27" s="27" t="inlineStr">
        <is>
          <t>degF</t>
        </is>
      </c>
    </row>
    <row r="28">
      <c r="A28" s="28" t="inlineStr">
        <is>
          <t>Temperature</t>
        </is>
      </c>
      <c r="B28" s="54">
        <f>($B$27-32)/1.8</f>
        <v/>
      </c>
      <c r="C28" s="30" t="inlineStr"/>
      <c r="F28" s="27" t="inlineStr">
        <is>
          <t>degC</t>
        </is>
      </c>
    </row>
    <row r="30">
      <c r="A30" s="25" t="inlineStr">
        <is>
          <t>SI -&gt; Field (generic)</t>
        </is>
      </c>
      <c r="B30" s="26" t="n"/>
      <c r="C30" s="26" t="n"/>
      <c r="D30" s="26" t="n"/>
      <c r="E30" s="26" t="n"/>
      <c r="F30" s="49" t="inlineStr">
        <is>
          <t>Field value = SI value / factor</t>
        </is>
      </c>
    </row>
    <row r="31">
      <c r="A31" t="inlineStr"/>
      <c r="F31" s="27" t="inlineStr">
        <is>
          <t>Enter an SI value and the factor from the table below.</t>
        </is>
      </c>
    </row>
    <row r="32">
      <c r="A32" s="28" t="inlineStr">
        <is>
          <t>SI value</t>
        </is>
      </c>
      <c r="B32" s="35" t="n">
        <v>1500</v>
      </c>
      <c r="C32" s="30" t="inlineStr"/>
    </row>
    <row r="33">
      <c r="A33" s="28" t="inlineStr">
        <is>
          <t>Factor (field -&gt; SI)</t>
        </is>
      </c>
      <c r="B33" s="55" t="n">
        <v>6.894757</v>
      </c>
      <c r="C33" s="30" t="inlineStr"/>
    </row>
    <row r="34">
      <c r="A34" s="28" t="inlineStr">
        <is>
          <t>Field value</t>
        </is>
      </c>
      <c r="B34" s="56">
        <f>$B$32/$B$33</f>
        <v/>
      </c>
      <c r="C34" s="30" t="inlineStr"/>
    </row>
    <row r="36" ht="20" customHeight="1">
      <c r="A36" s="23" t="inlineStr">
        <is>
          <t>Conversion Factor Table (multiply field value by factor to get SI)</t>
        </is>
      </c>
      <c r="B36" s="24" t="n"/>
      <c r="C36" s="24" t="n"/>
      <c r="D36" s="24" t="n"/>
      <c r="E36" s="24" t="n"/>
      <c r="F36" s="24" t="n"/>
    </row>
    <row r="38">
      <c r="A38" s="43" t="inlineStr">
        <is>
          <t>Field unit</t>
        </is>
      </c>
      <c r="B38" s="43" t="inlineStr">
        <is>
          <t>Factor</t>
        </is>
      </c>
      <c r="C38" s="43" t="inlineStr">
        <is>
          <t>SI unit</t>
        </is>
      </c>
    </row>
    <row r="39">
      <c r="A39" s="44" t="inlineStr">
        <is>
          <t>bbl</t>
        </is>
      </c>
      <c r="B39" s="57" t="n">
        <v>0.1589873</v>
      </c>
      <c r="C39" s="44" t="inlineStr">
        <is>
          <t>m3</t>
        </is>
      </c>
    </row>
    <row r="40">
      <c r="A40" s="44" t="inlineStr">
        <is>
          <t>bbl/ft</t>
        </is>
      </c>
      <c r="B40" s="57" t="n">
        <v>0.5216119</v>
      </c>
      <c r="C40" s="44" t="inlineStr">
        <is>
          <t>m3/m</t>
        </is>
      </c>
    </row>
    <row r="41">
      <c r="A41" s="44" t="inlineStr">
        <is>
          <t>bbl/hr</t>
        </is>
      </c>
      <c r="B41" s="57" t="n">
        <v>0.1589873</v>
      </c>
      <c r="C41" s="44" t="inlineStr">
        <is>
          <t>m3/hr</t>
        </is>
      </c>
    </row>
    <row r="42">
      <c r="A42" s="44" t="inlineStr">
        <is>
          <t>bbl/mi</t>
        </is>
      </c>
      <c r="B42" s="57" t="n">
        <v>0.09879739999999999</v>
      </c>
      <c r="C42" s="44" t="inlineStr">
        <is>
          <t>m3/km</t>
        </is>
      </c>
    </row>
    <row r="43">
      <c r="A43" s="44" t="inlineStr">
        <is>
          <t>bbl/min</t>
        </is>
      </c>
      <c r="B43" s="57" t="n">
        <v>0.1589873</v>
      </c>
      <c r="C43" s="44" t="inlineStr">
        <is>
          <t>m3/min</t>
        </is>
      </c>
    </row>
    <row r="44">
      <c r="A44" s="44" t="inlineStr">
        <is>
          <t>bbl/stk</t>
        </is>
      </c>
      <c r="B44" s="57" t="n">
        <v>158.9873</v>
      </c>
      <c r="C44" s="44" t="inlineStr">
        <is>
          <t>L/stk</t>
        </is>
      </c>
    </row>
    <row r="45">
      <c r="A45" s="44" t="inlineStr">
        <is>
          <t>cuft/bbl</t>
        </is>
      </c>
      <c r="B45" s="57" t="n">
        <v>0.1781076</v>
      </c>
      <c r="C45" s="44" t="inlineStr">
        <is>
          <t>m3/m3</t>
        </is>
      </c>
    </row>
    <row r="46">
      <c r="A46" s="44" t="inlineStr">
        <is>
          <t>deg/100ft</t>
        </is>
      </c>
      <c r="B46" s="57" t="n">
        <v>0.984252</v>
      </c>
      <c r="C46" s="44" t="inlineStr">
        <is>
          <t>deg/30m</t>
        </is>
      </c>
    </row>
    <row r="47">
      <c r="A47" s="44" t="inlineStr">
        <is>
          <t>ft</t>
        </is>
      </c>
      <c r="B47" s="57" t="n">
        <v>0.3048</v>
      </c>
      <c r="C47" s="44" t="inlineStr">
        <is>
          <t>m</t>
        </is>
      </c>
    </row>
    <row r="48">
      <c r="A48" s="44" t="inlineStr">
        <is>
          <t>ft-lbf</t>
        </is>
      </c>
      <c r="B48" s="57" t="n">
        <v>1.355818</v>
      </c>
      <c r="C48" s="44" t="inlineStr">
        <is>
          <t>N-m</t>
        </is>
      </c>
    </row>
    <row r="49">
      <c r="A49" s="44" t="inlineStr">
        <is>
          <t>ft/hr</t>
        </is>
      </c>
      <c r="B49" s="57" t="n">
        <v>0.3048</v>
      </c>
      <c r="C49" s="44" t="inlineStr">
        <is>
          <t>m/hr</t>
        </is>
      </c>
    </row>
    <row r="50">
      <c r="A50" s="44" t="inlineStr">
        <is>
          <t>ft/min</t>
        </is>
      </c>
      <c r="B50" s="57" t="n">
        <v>0.3048</v>
      </c>
      <c r="C50" s="44" t="inlineStr">
        <is>
          <t>m/min</t>
        </is>
      </c>
    </row>
    <row r="51">
      <c r="A51" s="44" t="inlineStr">
        <is>
          <t>ft/s</t>
        </is>
      </c>
      <c r="B51" s="57" t="n">
        <v>0.3048</v>
      </c>
      <c r="C51" s="44" t="inlineStr">
        <is>
          <t>m/s</t>
        </is>
      </c>
    </row>
    <row r="52">
      <c r="A52" s="44" t="inlineStr">
        <is>
          <t>ft3</t>
        </is>
      </c>
      <c r="B52" s="57" t="n">
        <v>0.02831685</v>
      </c>
      <c r="C52" s="44" t="inlineStr">
        <is>
          <t>m3</t>
        </is>
      </c>
    </row>
    <row r="53">
      <c r="A53" s="44" t="inlineStr">
        <is>
          <t>ft3/min</t>
        </is>
      </c>
      <c r="B53" s="57" t="n">
        <v>0.02831685</v>
      </c>
      <c r="C53" s="44" t="inlineStr">
        <is>
          <t>m3/min</t>
        </is>
      </c>
    </row>
    <row r="54">
      <c r="A54" s="44" t="inlineStr">
        <is>
          <t>ft3/sk</t>
        </is>
      </c>
      <c r="B54" s="57" t="n">
        <v>0.02831685</v>
      </c>
      <c r="C54" s="44" t="inlineStr">
        <is>
          <t>m3/sk</t>
        </is>
      </c>
    </row>
    <row r="55">
      <c r="A55" s="44" t="inlineStr">
        <is>
          <t>gal</t>
        </is>
      </c>
      <c r="B55" s="57" t="n">
        <v>3.785412</v>
      </c>
      <c r="C55" s="44" t="inlineStr">
        <is>
          <t>L</t>
        </is>
      </c>
    </row>
    <row r="56">
      <c r="A56" s="44" t="inlineStr">
        <is>
          <t>gal/sk</t>
        </is>
      </c>
      <c r="B56" s="57" t="n">
        <v>3.785412</v>
      </c>
      <c r="C56" s="44" t="inlineStr">
        <is>
          <t>L/sk</t>
        </is>
      </c>
    </row>
    <row r="57">
      <c r="A57" s="44" t="inlineStr">
        <is>
          <t>gpm</t>
        </is>
      </c>
      <c r="B57" s="57" t="n">
        <v>3.785412</v>
      </c>
      <c r="C57" s="44" t="inlineStr">
        <is>
          <t>L/min</t>
        </is>
      </c>
    </row>
    <row r="58">
      <c r="A58" s="44" t="inlineStr">
        <is>
          <t>hp</t>
        </is>
      </c>
      <c r="B58" s="57" t="n">
        <v>0.7456999</v>
      </c>
      <c r="C58" s="44" t="inlineStr">
        <is>
          <t>kW</t>
        </is>
      </c>
    </row>
    <row r="59">
      <c r="A59" s="44" t="inlineStr">
        <is>
          <t>hp/in2</t>
        </is>
      </c>
      <c r="B59" s="57" t="n">
        <v>0.1155886</v>
      </c>
      <c r="C59" s="44" t="inlineStr">
        <is>
          <t>kW/cm2</t>
        </is>
      </c>
    </row>
    <row r="60">
      <c r="A60" s="44" t="inlineStr">
        <is>
          <t>in</t>
        </is>
      </c>
      <c r="B60" s="57" t="n">
        <v>25.4</v>
      </c>
      <c r="C60" s="44" t="inlineStr">
        <is>
          <t>mm</t>
        </is>
      </c>
    </row>
    <row r="61">
      <c r="A61" s="44" t="inlineStr">
        <is>
          <t>in2</t>
        </is>
      </c>
      <c r="B61" s="57" t="n">
        <v>6.4516</v>
      </c>
      <c r="C61" s="44" t="inlineStr">
        <is>
          <t>cm2</t>
        </is>
      </c>
    </row>
    <row r="62">
      <c r="A62" s="44" t="inlineStr">
        <is>
          <t>klbf</t>
        </is>
      </c>
      <c r="B62" s="57" t="n">
        <v>4.448222</v>
      </c>
      <c r="C62" s="44" t="inlineStr">
        <is>
          <t>kN</t>
        </is>
      </c>
    </row>
    <row r="63">
      <c r="A63" s="44" t="inlineStr">
        <is>
          <t>klbm</t>
        </is>
      </c>
      <c r="B63" s="57" t="n">
        <v>0.4535924</v>
      </c>
      <c r="C63" s="44" t="inlineStr">
        <is>
          <t>tonne</t>
        </is>
      </c>
    </row>
    <row r="64">
      <c r="A64" s="44" t="inlineStr">
        <is>
          <t>lb/bbl</t>
        </is>
      </c>
      <c r="B64" s="57" t="n">
        <v>2.85301</v>
      </c>
      <c r="C64" s="44" t="inlineStr">
        <is>
          <t>kg/m3</t>
        </is>
      </c>
    </row>
    <row r="65">
      <c r="A65" s="44" t="inlineStr">
        <is>
          <t>lb/ft</t>
        </is>
      </c>
      <c r="B65" s="57" t="n">
        <v>1.488164</v>
      </c>
      <c r="C65" s="44" t="inlineStr">
        <is>
          <t>kg/m</t>
        </is>
      </c>
    </row>
    <row r="66">
      <c r="A66" s="44" t="inlineStr">
        <is>
          <t>lb/gal</t>
        </is>
      </c>
      <c r="B66" s="57" t="n">
        <v>0.1198264</v>
      </c>
      <c r="C66" s="44" t="inlineStr">
        <is>
          <t>kg/L</t>
        </is>
      </c>
    </row>
    <row r="67">
      <c r="A67" s="44" t="inlineStr">
        <is>
          <t>lbf</t>
        </is>
      </c>
      <c r="B67" s="57" t="n">
        <v>0.004448222</v>
      </c>
      <c r="C67" s="44" t="inlineStr">
        <is>
          <t>kN</t>
        </is>
      </c>
    </row>
    <row r="68">
      <c r="A68" s="44" t="inlineStr">
        <is>
          <t>lbm</t>
        </is>
      </c>
      <c r="B68" s="57" t="n">
        <v>0.4535924</v>
      </c>
      <c r="C68" s="44" t="inlineStr">
        <is>
          <t>kg</t>
        </is>
      </c>
    </row>
    <row r="69">
      <c r="A69" s="44" t="inlineStr">
        <is>
          <t>mD</t>
        </is>
      </c>
      <c r="B69" s="57" t="n">
        <v>0.9869232999999999</v>
      </c>
      <c r="C69" s="44" t="inlineStr">
        <is>
          <t>um2 x1e-3</t>
        </is>
      </c>
    </row>
    <row r="70">
      <c r="A70" s="44" t="inlineStr">
        <is>
          <t>ppg</t>
        </is>
      </c>
      <c r="B70" s="57" t="n">
        <v>119.8264</v>
      </c>
      <c r="C70" s="44" t="inlineStr">
        <is>
          <t>kg/m3</t>
        </is>
      </c>
    </row>
    <row r="71">
      <c r="A71" s="44" t="inlineStr">
        <is>
          <t>psi</t>
        </is>
      </c>
      <c r="B71" s="57" t="n">
        <v>6.894757</v>
      </c>
      <c r="C71" s="44" t="inlineStr">
        <is>
          <t>kPa</t>
        </is>
      </c>
    </row>
    <row r="72">
      <c r="A72" s="44" t="inlineStr">
        <is>
          <t>psi/100ft</t>
        </is>
      </c>
      <c r="B72" s="57" t="n">
        <v>6.894757</v>
      </c>
      <c r="C72" s="44" t="inlineStr">
        <is>
          <t>kPa/30.5m</t>
        </is>
      </c>
    </row>
    <row r="73">
      <c r="A73" s="44" t="inlineStr">
        <is>
          <t>psi/bbl</t>
        </is>
      </c>
      <c r="B73" s="57" t="n">
        <v>43.36638</v>
      </c>
      <c r="C73" s="44" t="inlineStr">
        <is>
          <t>kPa/m3</t>
        </is>
      </c>
    </row>
    <row r="74">
      <c r="A74" s="44" t="inlineStr">
        <is>
          <t>psi/ft</t>
        </is>
      </c>
      <c r="B74" s="57" t="n">
        <v>22.62059</v>
      </c>
      <c r="C74" s="44" t="inlineStr">
        <is>
          <t>kPa/m</t>
        </is>
      </c>
    </row>
    <row r="75">
      <c r="A75" s="44" t="inlineStr">
        <is>
          <t>psi/stk</t>
        </is>
      </c>
      <c r="B75" s="57" t="n">
        <v>6.894757</v>
      </c>
      <c r="C75" s="44" t="inlineStr">
        <is>
          <t>kPa/stk</t>
        </is>
      </c>
    </row>
    <row r="76">
      <c r="A76" s="44" t="inlineStr">
        <is>
          <t>scf</t>
        </is>
      </c>
      <c r="B76" s="57" t="n">
        <v>0.02831685</v>
      </c>
      <c r="C76" s="44" t="inlineStr">
        <is>
          <t>std m3</t>
        </is>
      </c>
    </row>
    <row r="77">
      <c r="A77" s="44" t="inlineStr">
        <is>
          <t>scf/bbl</t>
        </is>
      </c>
      <c r="B77" s="57" t="n">
        <v>0.1781076</v>
      </c>
      <c r="C77" s="44" t="inlineStr">
        <is>
          <t>m3/m3</t>
        </is>
      </c>
    </row>
    <row r="78">
      <c r="A78" s="44" t="inlineStr">
        <is>
          <t>sk/bbl</t>
        </is>
      </c>
      <c r="B78" s="57" t="n">
        <v>6.289811</v>
      </c>
      <c r="C78" s="44" t="inlineStr">
        <is>
          <t>sk/m3</t>
        </is>
      </c>
    </row>
  </sheetData>
  <sheetProtection selectLockedCells="0" selectUnlockedCells="0" sheet="1" objects="0" insertRows="1" insertHyperlinks="1" autoFilter="1" scenarios="0" formatColumns="0" deleteColumns="1" insertColumns="1" pivotTables="1" deleteRows="1" formatCells="1" formatRows="0" sort="1"/>
  <mergeCells count="4">
    <mergeCell ref="A36:F36"/>
    <mergeCell ref="A2:F2"/>
    <mergeCell ref="A6:F6"/>
    <mergeCell ref="A1:F1"/>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F93"/>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Mud Density &amp; Hydrostatic Pressure</t>
        </is>
      </c>
      <c r="B1" s="2" t="n"/>
      <c r="C1" s="2" t="n"/>
      <c r="D1" s="2" t="n"/>
      <c r="E1" s="2" t="n"/>
      <c r="F1" s="2" t="n"/>
    </row>
    <row r="2">
      <c r="A2" s="20" t="inlineStr">
        <is>
          <t>Gradients, hydrostatic pressure, equivalent mud weight, ECD, weight-up and dilution</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Gradients &amp; Hydrostatic Pressure</t>
        </is>
      </c>
      <c r="B6" s="24" t="n"/>
      <c r="C6" s="24" t="n"/>
      <c r="D6" s="24" t="n"/>
      <c r="E6" s="24" t="n"/>
      <c r="F6" s="24" t="n"/>
    </row>
    <row r="8">
      <c r="A8" s="25" t="inlineStr">
        <is>
          <t>Pressure Gradient from Mud Weight</t>
        </is>
      </c>
      <c r="B8" s="26" t="n"/>
      <c r="C8" s="26" t="n"/>
      <c r="D8" s="26" t="n"/>
      <c r="E8" s="26" t="n"/>
      <c r="F8" s="49" t="inlineStr">
        <is>
          <t>Grad [psi/ft] = 0.052 x MW [ppg]</t>
        </is>
      </c>
    </row>
    <row r="9">
      <c r="A9" s="28" t="inlineStr">
        <is>
          <t>Mud weight (MW)</t>
        </is>
      </c>
      <c r="B9" s="35" t="n">
        <v>12.5</v>
      </c>
      <c r="C9" s="30" t="inlineStr">
        <is>
          <t>ppg</t>
        </is>
      </c>
      <c r="D9" s="36">
        <f>IFERROR($B$9*119.8264,NA())</f>
        <v/>
      </c>
      <c r="E9" s="30" t="inlineStr">
        <is>
          <t>kg/m3</t>
        </is>
      </c>
    </row>
    <row r="10">
      <c r="A10" s="28" t="inlineStr">
        <is>
          <t>Pressure gradient</t>
        </is>
      </c>
      <c r="B10" s="58">
        <f>0.052*$B$9</f>
        <v/>
      </c>
      <c r="C10" s="30" t="inlineStr">
        <is>
          <t>psi/ft</t>
        </is>
      </c>
      <c r="D10" s="39">
        <f>IFERROR($B$10*22.62059,NA())</f>
        <v/>
      </c>
      <c r="E10" s="30" t="inlineStr">
        <is>
          <t>kPa/m</t>
        </is>
      </c>
    </row>
    <row r="12">
      <c r="A12" s="25" t="inlineStr">
        <is>
          <t>Hydrostatic Pressure</t>
        </is>
      </c>
      <c r="B12" s="26" t="n"/>
      <c r="C12" s="26" t="n"/>
      <c r="D12" s="26" t="n"/>
      <c r="E12" s="26" t="n"/>
      <c r="F12" s="49" t="inlineStr">
        <is>
          <t>P_hyd [psi] = 0.052 x MW [ppg] x TVD [ft]</t>
        </is>
      </c>
    </row>
    <row r="13">
      <c r="A13" t="inlineStr"/>
      <c r="F13" s="27" t="inlineStr">
        <is>
          <t>Always use true vertical depth, never measured depth.</t>
        </is>
      </c>
    </row>
    <row r="14">
      <c r="A14" s="28" t="inlineStr">
        <is>
          <t>Mud weight (MW)</t>
        </is>
      </c>
      <c r="B14" s="35" t="n">
        <v>12.5</v>
      </c>
      <c r="C14" s="30" t="inlineStr">
        <is>
          <t>ppg</t>
        </is>
      </c>
      <c r="D14" s="36">
        <f>IFERROR($B$14*119.8264,NA())</f>
        <v/>
      </c>
      <c r="E14" s="30" t="inlineStr">
        <is>
          <t>kg/m3</t>
        </is>
      </c>
    </row>
    <row r="15">
      <c r="A15" s="28" t="inlineStr">
        <is>
          <t>True vertical depth (TVD)</t>
        </is>
      </c>
      <c r="B15" s="31" t="n">
        <v>10000</v>
      </c>
      <c r="C15" s="30" t="inlineStr">
        <is>
          <t>ft</t>
        </is>
      </c>
      <c r="D15" s="32">
        <f>IFERROR($B$15*0.3048,NA())</f>
        <v/>
      </c>
      <c r="E15" s="30" t="inlineStr">
        <is>
          <t>m</t>
        </is>
      </c>
    </row>
    <row r="16">
      <c r="A16" s="28" t="inlineStr">
        <is>
          <t>Hydrostatic pressure (P_hyd)</t>
        </is>
      </c>
      <c r="B16" s="59">
        <f>0.052*$B$14*$B$15</f>
        <v/>
      </c>
      <c r="C16" s="30" t="inlineStr">
        <is>
          <t>psi</t>
        </is>
      </c>
      <c r="D16" s="32">
        <f>IFERROR($B$16*6.894757,NA())</f>
        <v/>
      </c>
      <c r="E16" s="30" t="inlineStr">
        <is>
          <t>kPa</t>
        </is>
      </c>
    </row>
    <row r="18">
      <c r="A18" s="25" t="inlineStr">
        <is>
          <t>Mud Weight from Pressure Gradient</t>
        </is>
      </c>
      <c r="B18" s="26" t="n"/>
      <c r="C18" s="26" t="n"/>
      <c r="D18" s="26" t="n"/>
      <c r="E18" s="26" t="n"/>
      <c r="F18" s="49" t="inlineStr">
        <is>
          <t>MW [ppg] = Grad [psi/ft] / 0.052</t>
        </is>
      </c>
    </row>
    <row r="19">
      <c r="A19" s="28" t="inlineStr">
        <is>
          <t>Pressure gradient</t>
        </is>
      </c>
      <c r="B19" s="38" t="n">
        <v>0.65</v>
      </c>
      <c r="C19" s="30" t="inlineStr">
        <is>
          <t>psi/ft</t>
        </is>
      </c>
      <c r="D19" s="39">
        <f>IFERROR($B$19*22.62059,NA())</f>
        <v/>
      </c>
      <c r="E19" s="30" t="inlineStr">
        <is>
          <t>kPa/m</t>
        </is>
      </c>
    </row>
    <row r="20">
      <c r="A20" s="28" t="inlineStr">
        <is>
          <t>Equivalent mud weight</t>
        </is>
      </c>
      <c r="B20" s="56">
        <f>$B$19/0.052</f>
        <v/>
      </c>
      <c r="C20" s="30" t="inlineStr">
        <is>
          <t>ppg</t>
        </is>
      </c>
      <c r="D20" s="36">
        <f>IFERROR($B$20*119.8264,NA())</f>
        <v/>
      </c>
      <c r="E20" s="30" t="inlineStr">
        <is>
          <t>kg/m3</t>
        </is>
      </c>
    </row>
    <row r="22">
      <c r="A22" s="25" t="inlineStr">
        <is>
          <t>Equivalent Mud Weight (EMW) at Depth</t>
        </is>
      </c>
      <c r="B22" s="26" t="n"/>
      <c r="C22" s="26" t="n"/>
      <c r="D22" s="26" t="n"/>
      <c r="E22" s="26" t="n"/>
      <c r="F22" s="49" t="inlineStr">
        <is>
          <t>EMW [ppg] = P [psi] / (0.052 x TVD [ft])</t>
        </is>
      </c>
    </row>
    <row r="23">
      <c r="A23" s="28" t="inlineStr">
        <is>
          <t>Pressure at depth (P)</t>
        </is>
      </c>
      <c r="B23" s="31" t="n">
        <v>6500</v>
      </c>
      <c r="C23" s="30" t="inlineStr">
        <is>
          <t>psi</t>
        </is>
      </c>
      <c r="D23" s="32">
        <f>IFERROR($B$23*6.894757,NA())</f>
        <v/>
      </c>
      <c r="E23" s="30" t="inlineStr">
        <is>
          <t>kPa</t>
        </is>
      </c>
    </row>
    <row r="24">
      <c r="A24" s="28" t="inlineStr">
        <is>
          <t>True vertical depth (TVD)</t>
        </is>
      </c>
      <c r="B24" s="31" t="n">
        <v>10000</v>
      </c>
      <c r="C24" s="30" t="inlineStr">
        <is>
          <t>ft</t>
        </is>
      </c>
      <c r="D24" s="32">
        <f>IFERROR($B$24*0.3048,NA())</f>
        <v/>
      </c>
      <c r="E24" s="30" t="inlineStr">
        <is>
          <t>m</t>
        </is>
      </c>
    </row>
    <row r="25">
      <c r="A25" s="28" t="inlineStr">
        <is>
          <t>Equivalent mud weight (EMW)</t>
        </is>
      </c>
      <c r="B25" s="56">
        <f>$B$23/(0.052*$B$24)</f>
        <v/>
      </c>
      <c r="C25" s="30" t="inlineStr">
        <is>
          <t>ppg</t>
        </is>
      </c>
      <c r="D25" s="36">
        <f>IFERROR($B$25*119.8264,NA())</f>
        <v/>
      </c>
      <c r="E25" s="30" t="inlineStr">
        <is>
          <t>kg/m3</t>
        </is>
      </c>
    </row>
    <row r="27">
      <c r="A27" s="25" t="inlineStr">
        <is>
          <t>Hydrostatic Pressure of a Column of Multiple Fluids</t>
        </is>
      </c>
      <c r="B27" s="26" t="n"/>
      <c r="C27" s="26" t="n"/>
      <c r="D27" s="26" t="n"/>
      <c r="E27" s="26" t="n"/>
      <c r="F27" s="49" t="inlineStr">
        <is>
          <t>P_hyd = 0.052 x [ MW1 x L1_tvd + MW2 x L2_tvd ]</t>
        </is>
      </c>
    </row>
    <row r="28">
      <c r="A28" t="inlineStr"/>
      <c r="F28" s="27" t="inlineStr">
        <is>
          <t>Extend by summing 0.052 x MW x TVD-length for each fluid in the column.</t>
        </is>
      </c>
    </row>
    <row r="29">
      <c r="A29" s="28" t="inlineStr">
        <is>
          <t>Fluid 1 density</t>
        </is>
      </c>
      <c r="B29" s="35" t="n">
        <v>8.6</v>
      </c>
      <c r="C29" s="30" t="inlineStr">
        <is>
          <t>ppg</t>
        </is>
      </c>
      <c r="D29" s="36">
        <f>IFERROR($B$29*119.8264,NA())</f>
        <v/>
      </c>
      <c r="E29" s="30" t="inlineStr">
        <is>
          <t>kg/m3</t>
        </is>
      </c>
    </row>
    <row r="30">
      <c r="A30" s="28" t="inlineStr">
        <is>
          <t>Fluid 1 vertical length</t>
        </is>
      </c>
      <c r="B30" s="31" t="n">
        <v>4000</v>
      </c>
      <c r="C30" s="30" t="inlineStr">
        <is>
          <t>ft</t>
        </is>
      </c>
      <c r="D30" s="32">
        <f>IFERROR($B$30*0.3048,NA())</f>
        <v/>
      </c>
      <c r="E30" s="30" t="inlineStr">
        <is>
          <t>m</t>
        </is>
      </c>
    </row>
    <row r="31">
      <c r="A31" s="28" t="inlineStr">
        <is>
          <t>Fluid 2 density</t>
        </is>
      </c>
      <c r="B31" s="35" t="n">
        <v>12.5</v>
      </c>
      <c r="C31" s="30" t="inlineStr">
        <is>
          <t>ppg</t>
        </is>
      </c>
      <c r="D31" s="36">
        <f>IFERROR($B$31*119.8264,NA())</f>
        <v/>
      </c>
      <c r="E31" s="30" t="inlineStr">
        <is>
          <t>kg/m3</t>
        </is>
      </c>
    </row>
    <row r="32">
      <c r="A32" s="28" t="inlineStr">
        <is>
          <t>Fluid 2 vertical length</t>
        </is>
      </c>
      <c r="B32" s="31" t="n">
        <v>6000</v>
      </c>
      <c r="C32" s="30" t="inlineStr">
        <is>
          <t>ft</t>
        </is>
      </c>
      <c r="D32" s="32">
        <f>IFERROR($B$32*0.3048,NA())</f>
        <v/>
      </c>
      <c r="E32" s="30" t="inlineStr">
        <is>
          <t>m</t>
        </is>
      </c>
    </row>
    <row r="33">
      <c r="A33" s="28" t="inlineStr">
        <is>
          <t>Total hydrostatic pressure</t>
        </is>
      </c>
      <c r="B33" s="59">
        <f>0.052*($B$29*$B$30+$B$31*$B$32)</f>
        <v/>
      </c>
      <c r="C33" s="30" t="inlineStr">
        <is>
          <t>psi</t>
        </is>
      </c>
      <c r="D33" s="32">
        <f>IFERROR($B$33*6.894757,NA())</f>
        <v/>
      </c>
      <c r="E33" s="30" t="inlineStr">
        <is>
          <t>kPa</t>
        </is>
      </c>
    </row>
    <row r="35" ht="20" customHeight="1">
      <c r="A35" s="23" t="inlineStr">
        <is>
          <t>Density Conversions</t>
        </is>
      </c>
      <c r="B35" s="24" t="n"/>
      <c r="C35" s="24" t="n"/>
      <c r="D35" s="24" t="n"/>
      <c r="E35" s="24" t="n"/>
      <c r="F35" s="24" t="n"/>
    </row>
    <row r="37">
      <c r="A37" s="25" t="inlineStr">
        <is>
          <t>Specific Gravity &lt;-&gt; Mud Weight</t>
        </is>
      </c>
      <c r="B37" s="26" t="n"/>
      <c r="C37" s="26" t="n"/>
      <c r="D37" s="26" t="n"/>
      <c r="E37" s="26" t="n"/>
      <c r="F37" s="49" t="inlineStr">
        <is>
          <t>MW [ppg] = SG x 8.345;   SG = MW / 8.345</t>
        </is>
      </c>
    </row>
    <row r="38">
      <c r="A38" s="28" t="inlineStr">
        <is>
          <t>Specific gravity (SG)</t>
        </is>
      </c>
      <c r="B38" s="33" t="n">
        <v>1.2</v>
      </c>
      <c r="C38" s="30" t="inlineStr"/>
    </row>
    <row r="39">
      <c r="A39" s="28" t="inlineStr">
        <is>
          <t>Mud weight</t>
        </is>
      </c>
      <c r="B39" s="56">
        <f>$B$38*8.345</f>
        <v/>
      </c>
      <c r="C39" s="30" t="inlineStr">
        <is>
          <t>ppg</t>
        </is>
      </c>
      <c r="D39" s="36">
        <f>IFERROR($B$39*119.8264,NA())</f>
        <v/>
      </c>
      <c r="E39" s="30" t="inlineStr">
        <is>
          <t>kg/m3</t>
        </is>
      </c>
    </row>
    <row r="40">
      <c r="A40" s="28" t="inlineStr">
        <is>
          <t>Mud weight (MW)</t>
        </is>
      </c>
      <c r="B40" s="35" t="n">
        <v>12.5</v>
      </c>
      <c r="C40" s="30" t="inlineStr">
        <is>
          <t>ppg</t>
        </is>
      </c>
      <c r="D40" s="36">
        <f>IFERROR($B$40*119.8264,NA())</f>
        <v/>
      </c>
      <c r="E40" s="30" t="inlineStr">
        <is>
          <t>kg/m3</t>
        </is>
      </c>
    </row>
    <row r="41">
      <c r="A41" s="28" t="inlineStr">
        <is>
          <t>Specific gravity</t>
        </is>
      </c>
      <c r="B41" s="50">
        <f>$B$40/8.345</f>
        <v/>
      </c>
      <c r="C41" s="30" t="inlineStr"/>
    </row>
    <row r="43">
      <c r="A43" s="25" t="inlineStr">
        <is>
          <t>Mud Weight &lt;-&gt; lb/ft3</t>
        </is>
      </c>
      <c r="B43" s="26" t="n"/>
      <c r="C43" s="26" t="n"/>
      <c r="D43" s="26" t="n"/>
      <c r="E43" s="26" t="n"/>
      <c r="F43" s="49" t="inlineStr">
        <is>
          <t>MW [lb/ft3] = MW [ppg] x 7.48</t>
        </is>
      </c>
    </row>
    <row r="44">
      <c r="A44" s="28" t="inlineStr">
        <is>
          <t>Mud weight</t>
        </is>
      </c>
      <c r="B44" s="35" t="n">
        <v>12.5</v>
      </c>
      <c r="C44" s="30" t="inlineStr">
        <is>
          <t>ppg</t>
        </is>
      </c>
      <c r="D44" s="36">
        <f>IFERROR($B$44*119.8264,NA())</f>
        <v/>
      </c>
      <c r="E44" s="30" t="inlineStr">
        <is>
          <t>kg/m3</t>
        </is>
      </c>
    </row>
    <row r="45">
      <c r="A45" s="28" t="inlineStr">
        <is>
          <t>Density</t>
        </is>
      </c>
      <c r="B45" s="56">
        <f>$B$44*7.48</f>
        <v/>
      </c>
      <c r="C45" s="30" t="inlineStr">
        <is>
          <t>lb/ft3</t>
        </is>
      </c>
      <c r="D45" s="36">
        <f>IFERROR($B$45*16.01846,NA())</f>
        <v/>
      </c>
      <c r="E45" s="30" t="inlineStr">
        <is>
          <t>kg/m3</t>
        </is>
      </c>
    </row>
    <row r="47" ht="20" customHeight="1">
      <c r="A47" s="23" t="inlineStr">
        <is>
          <t>ECD &amp; Annular Friction</t>
        </is>
      </c>
      <c r="B47" s="24" t="n"/>
      <c r="C47" s="24" t="n"/>
      <c r="D47" s="24" t="n"/>
      <c r="E47" s="24" t="n"/>
      <c r="F47" s="24" t="n"/>
    </row>
    <row r="49">
      <c r="A49" s="25" t="inlineStr">
        <is>
          <t>Equivalent Circulating Density (ECD)</t>
        </is>
      </c>
      <c r="B49" s="26" t="n"/>
      <c r="C49" s="26" t="n"/>
      <c r="D49" s="26" t="n"/>
      <c r="E49" s="26" t="n"/>
      <c r="F49" s="49" t="inlineStr">
        <is>
          <t>ECD [ppg] = MW + APL / (0.052 x TVD)</t>
        </is>
      </c>
    </row>
    <row r="50">
      <c r="A50" t="inlineStr"/>
      <c r="F50" s="27" t="inlineStr">
        <is>
          <t>APL = annular pressure loss while circulating.</t>
        </is>
      </c>
    </row>
    <row r="51">
      <c r="A51" s="28" t="inlineStr">
        <is>
          <t>Mud weight (MW)</t>
        </is>
      </c>
      <c r="B51" s="35" t="n">
        <v>12.5</v>
      </c>
      <c r="C51" s="30" t="inlineStr">
        <is>
          <t>ppg</t>
        </is>
      </c>
      <c r="D51" s="36">
        <f>IFERROR($B$51*119.8264,NA())</f>
        <v/>
      </c>
      <c r="E51" s="30" t="inlineStr">
        <is>
          <t>kg/m3</t>
        </is>
      </c>
    </row>
    <row r="52">
      <c r="A52" s="28" t="inlineStr">
        <is>
          <t>Annular pressure loss (APL)</t>
        </is>
      </c>
      <c r="B52" s="31" t="n">
        <v>200</v>
      </c>
      <c r="C52" s="30" t="inlineStr">
        <is>
          <t>psi</t>
        </is>
      </c>
      <c r="D52" s="32">
        <f>IFERROR($B$52*6.894757,NA())</f>
        <v/>
      </c>
      <c r="E52" s="30" t="inlineStr">
        <is>
          <t>kPa</t>
        </is>
      </c>
    </row>
    <row r="53">
      <c r="A53" s="28" t="inlineStr">
        <is>
          <t>True vertical depth (TVD)</t>
        </is>
      </c>
      <c r="B53" s="31" t="n">
        <v>10000</v>
      </c>
      <c r="C53" s="30" t="inlineStr">
        <is>
          <t>ft</t>
        </is>
      </c>
      <c r="D53" s="32">
        <f>IFERROR($B$53*0.3048,NA())</f>
        <v/>
      </c>
      <c r="E53" s="30" t="inlineStr">
        <is>
          <t>m</t>
        </is>
      </c>
    </row>
    <row r="54">
      <c r="A54" s="28" t="inlineStr">
        <is>
          <t>Equivalent circulating density</t>
        </is>
      </c>
      <c r="B54" s="56">
        <f>$B$51+$B$52/(0.052*$B$53)</f>
        <v/>
      </c>
      <c r="C54" s="30" t="inlineStr">
        <is>
          <t>ppg</t>
        </is>
      </c>
      <c r="D54" s="36">
        <f>IFERROR($B$54*119.8264,NA())</f>
        <v/>
      </c>
      <c r="E54" s="30" t="inlineStr">
        <is>
          <t>kg/m3</t>
        </is>
      </c>
    </row>
    <row r="56">
      <c r="A56" s="25" t="inlineStr">
        <is>
          <t>Bottomhole Pressure While Circulating</t>
        </is>
      </c>
      <c r="B56" s="26" t="n"/>
      <c r="C56" s="26" t="n"/>
      <c r="D56" s="26" t="n"/>
      <c r="E56" s="26" t="n"/>
      <c r="F56" s="49" t="inlineStr">
        <is>
          <t>BHP = P_hyd + APL = 0.052 x ECD x TVD</t>
        </is>
      </c>
    </row>
    <row r="57">
      <c r="A57" s="28" t="inlineStr">
        <is>
          <t>Mud weight (MW)</t>
        </is>
      </c>
      <c r="B57" s="35" t="n">
        <v>12.5</v>
      </c>
      <c r="C57" s="30" t="inlineStr">
        <is>
          <t>ppg</t>
        </is>
      </c>
      <c r="D57" s="36">
        <f>IFERROR($B$57*119.8264,NA())</f>
        <v/>
      </c>
      <c r="E57" s="30" t="inlineStr">
        <is>
          <t>kg/m3</t>
        </is>
      </c>
    </row>
    <row r="58">
      <c r="A58" s="28" t="inlineStr">
        <is>
          <t>Annular pressure loss (APL)</t>
        </is>
      </c>
      <c r="B58" s="31" t="n">
        <v>200</v>
      </c>
      <c r="C58" s="30" t="inlineStr">
        <is>
          <t>psi</t>
        </is>
      </c>
      <c r="D58" s="32">
        <f>IFERROR($B$58*6.894757,NA())</f>
        <v/>
      </c>
      <c r="E58" s="30" t="inlineStr">
        <is>
          <t>kPa</t>
        </is>
      </c>
    </row>
    <row r="59">
      <c r="A59" s="28" t="inlineStr">
        <is>
          <t>True vertical depth (TVD)</t>
        </is>
      </c>
      <c r="B59" s="31" t="n">
        <v>10000</v>
      </c>
      <c r="C59" s="30" t="inlineStr">
        <is>
          <t>ft</t>
        </is>
      </c>
      <c r="D59" s="32">
        <f>IFERROR($B$59*0.3048,NA())</f>
        <v/>
      </c>
      <c r="E59" s="30" t="inlineStr">
        <is>
          <t>m</t>
        </is>
      </c>
    </row>
    <row r="60">
      <c r="A60" s="28" t="inlineStr">
        <is>
          <t>Circulating bottomhole pressure</t>
        </is>
      </c>
      <c r="B60" s="59">
        <f>0.052*$B$57*$B$59+$B$58</f>
        <v/>
      </c>
      <c r="C60" s="30" t="inlineStr">
        <is>
          <t>psi</t>
        </is>
      </c>
      <c r="D60" s="32">
        <f>IFERROR($B$60*6.894757,NA())</f>
        <v/>
      </c>
      <c r="E60" s="30" t="inlineStr">
        <is>
          <t>kPa</t>
        </is>
      </c>
    </row>
    <row r="62" ht="20" customHeight="1">
      <c r="A62" s="23" t="inlineStr">
        <is>
          <t>Weight-Up &amp; Dilution</t>
        </is>
      </c>
      <c r="B62" s="24" t="n"/>
      <c r="C62" s="24" t="n"/>
      <c r="D62" s="24" t="n"/>
      <c r="E62" s="24" t="n"/>
      <c r="F62" s="24" t="n"/>
    </row>
    <row r="64">
      <c r="A64" s="25" t="inlineStr">
        <is>
          <t>Barite Required to Weight Up</t>
        </is>
      </c>
      <c r="B64" s="26" t="n"/>
      <c r="C64" s="26" t="n"/>
      <c r="D64" s="26" t="n"/>
      <c r="E64" s="26" t="n"/>
      <c r="F64" s="49" t="inlineStr">
        <is>
          <t>Sacks/100 bbl = 1470 x (MW2 - MW1) / (35 - MW2)</t>
        </is>
      </c>
    </row>
    <row r="65">
      <c r="A65" t="inlineStr"/>
      <c r="F65" s="27" t="inlineStr">
        <is>
          <t>Barite SG 4.20 (35 ppg); 100 lb sacks. Final volume increases.</t>
        </is>
      </c>
    </row>
    <row r="66">
      <c r="A66" s="28" t="inlineStr">
        <is>
          <t>Initial mud volume</t>
        </is>
      </c>
      <c r="B66" s="31" t="n">
        <v>800</v>
      </c>
      <c r="C66" s="30" t="inlineStr">
        <is>
          <t>bbl</t>
        </is>
      </c>
      <c r="D66" s="32">
        <f>IFERROR($B$66*0.1589873,NA())</f>
        <v/>
      </c>
      <c r="E66" s="30" t="inlineStr">
        <is>
          <t>m3</t>
        </is>
      </c>
    </row>
    <row r="67">
      <c r="A67" s="28" t="inlineStr">
        <is>
          <t>Initial mud weight (MW1)</t>
        </is>
      </c>
      <c r="B67" s="35" t="n">
        <v>12.5</v>
      </c>
      <c r="C67" s="30" t="inlineStr">
        <is>
          <t>ppg</t>
        </is>
      </c>
      <c r="D67" s="36">
        <f>IFERROR($B$67*119.8264,NA())</f>
        <v/>
      </c>
      <c r="E67" s="30" t="inlineStr">
        <is>
          <t>kg/m3</t>
        </is>
      </c>
    </row>
    <row r="68">
      <c r="A68" s="28" t="inlineStr">
        <is>
          <t>Desired mud weight (MW2)</t>
        </is>
      </c>
      <c r="B68" s="35" t="n">
        <v>13.5</v>
      </c>
      <c r="C68" s="30" t="inlineStr">
        <is>
          <t>ppg</t>
        </is>
      </c>
      <c r="D68" s="36">
        <f>IFERROR($B$68*119.8264,NA())</f>
        <v/>
      </c>
      <c r="E68" s="30" t="inlineStr">
        <is>
          <t>kg/m3</t>
        </is>
      </c>
    </row>
    <row r="69">
      <c r="A69" s="28" t="inlineStr">
        <is>
          <t>Barite required</t>
        </is>
      </c>
      <c r="B69" s="59">
        <f>1470*($B$68-$B$67)/(35-$B$68)*$B$66/100</f>
        <v/>
      </c>
      <c r="C69" s="30" t="inlineStr"/>
      <c r="F69" s="27" t="inlineStr">
        <is>
          <t>100-lb sacks</t>
        </is>
      </c>
    </row>
    <row r="70">
      <c r="A70" s="28" t="inlineStr">
        <is>
          <t>Volume increase</t>
        </is>
      </c>
      <c r="B70" s="54">
        <f>$B$69*100/(35*42)</f>
        <v/>
      </c>
      <c r="C70" s="30" t="inlineStr">
        <is>
          <t>bbl</t>
        </is>
      </c>
      <c r="D70" s="40">
        <f>IFERROR($B$70*0.1589873,NA())</f>
        <v/>
      </c>
      <c r="E70" s="30" t="inlineStr">
        <is>
          <t>m3</t>
        </is>
      </c>
      <c r="F70" s="27" t="inlineStr">
        <is>
          <t>V_inc [bbl] = sacks x 100 lb / (35 ppg x 42 gal/bbl)</t>
        </is>
      </c>
    </row>
    <row r="72">
      <c r="A72" s="25" t="inlineStr">
        <is>
          <t>Calcium Carbonate Required to Weight Up</t>
        </is>
      </c>
      <c r="B72" s="26" t="n"/>
      <c r="C72" s="26" t="n"/>
      <c r="D72" s="26" t="n"/>
      <c r="E72" s="26" t="n"/>
      <c r="F72" s="49" t="inlineStr">
        <is>
          <t>Sacks/100 bbl = 945 x (MW2 - MW1) / (22.5 - MW2)</t>
        </is>
      </c>
    </row>
    <row r="73">
      <c r="A73" t="inlineStr"/>
      <c r="F73" s="27" t="inlineStr">
        <is>
          <t>CaCO3 SG 2.70 (22.5 ppg); 100 lb sacks. Acid-soluble, for reservoir drill-in fluids.</t>
        </is>
      </c>
    </row>
    <row r="74">
      <c r="A74" s="28" t="inlineStr">
        <is>
          <t>Initial mud volume</t>
        </is>
      </c>
      <c r="B74" s="31" t="n">
        <v>400</v>
      </c>
      <c r="C74" s="30" t="inlineStr">
        <is>
          <t>bbl</t>
        </is>
      </c>
      <c r="D74" s="32">
        <f>IFERROR($B$74*0.1589873,NA())</f>
        <v/>
      </c>
      <c r="E74" s="30" t="inlineStr">
        <is>
          <t>m3</t>
        </is>
      </c>
    </row>
    <row r="75">
      <c r="A75" s="28" t="inlineStr">
        <is>
          <t>Initial mud weight (MW1)</t>
        </is>
      </c>
      <c r="B75" s="35" t="n">
        <v>9</v>
      </c>
      <c r="C75" s="30" t="inlineStr">
        <is>
          <t>ppg</t>
        </is>
      </c>
      <c r="D75" s="36">
        <f>IFERROR($B$75*119.8264,NA())</f>
        <v/>
      </c>
      <c r="E75" s="30" t="inlineStr">
        <is>
          <t>kg/m3</t>
        </is>
      </c>
    </row>
    <row r="76">
      <c r="A76" s="28" t="inlineStr">
        <is>
          <t>Desired mud weight (MW2)</t>
        </is>
      </c>
      <c r="B76" s="35" t="n">
        <v>10</v>
      </c>
      <c r="C76" s="30" t="inlineStr">
        <is>
          <t>ppg</t>
        </is>
      </c>
      <c r="D76" s="36">
        <f>IFERROR($B$76*119.8264,NA())</f>
        <v/>
      </c>
      <c r="E76" s="30" t="inlineStr">
        <is>
          <t>kg/m3</t>
        </is>
      </c>
    </row>
    <row r="77">
      <c r="A77" s="28" t="inlineStr">
        <is>
          <t>CaCO3 required</t>
        </is>
      </c>
      <c r="B77" s="59">
        <f>945*($B$76-$B$75)/(22.5-$B$76)*$B$74/100</f>
        <v/>
      </c>
      <c r="C77" s="30" t="inlineStr"/>
      <c r="F77" s="27" t="inlineStr">
        <is>
          <t>100-lb sacks</t>
        </is>
      </c>
    </row>
    <row r="79">
      <c r="A79" s="25" t="inlineStr">
        <is>
          <t>Dilution to Reduce Mud Weight</t>
        </is>
      </c>
      <c r="B79" s="26" t="n"/>
      <c r="C79" s="26" t="n"/>
      <c r="D79" s="26" t="n"/>
      <c r="E79" s="26" t="n"/>
      <c r="F79" s="49" t="inlineStr">
        <is>
          <t>V_dil [bbl] = V1 x (MW1 - MW2) / (MW2 - MW_dil)</t>
        </is>
      </c>
    </row>
    <row r="80">
      <c r="A80" t="inlineStr"/>
      <c r="F80" s="27" t="inlineStr">
        <is>
          <t>Volume of dilution fluid (water/base oil) to add to V1 to cut density from MW1 to MW2.</t>
        </is>
      </c>
    </row>
    <row r="81">
      <c r="A81" s="28" t="inlineStr">
        <is>
          <t>Initial mud volume (V1)</t>
        </is>
      </c>
      <c r="B81" s="31" t="n">
        <v>800</v>
      </c>
      <c r="C81" s="30" t="inlineStr">
        <is>
          <t>bbl</t>
        </is>
      </c>
      <c r="D81" s="32">
        <f>IFERROR($B$81*0.1589873,NA())</f>
        <v/>
      </c>
      <c r="E81" s="30" t="inlineStr">
        <is>
          <t>m3</t>
        </is>
      </c>
    </row>
    <row r="82">
      <c r="A82" s="28" t="inlineStr">
        <is>
          <t>Initial mud weight (MW1)</t>
        </is>
      </c>
      <c r="B82" s="35" t="n">
        <v>13</v>
      </c>
      <c r="C82" s="30" t="inlineStr">
        <is>
          <t>ppg</t>
        </is>
      </c>
      <c r="D82" s="36">
        <f>IFERROR($B$82*119.8264,NA())</f>
        <v/>
      </c>
      <c r="E82" s="30" t="inlineStr">
        <is>
          <t>kg/m3</t>
        </is>
      </c>
    </row>
    <row r="83">
      <c r="A83" s="28" t="inlineStr">
        <is>
          <t>Desired mud weight (MW2)</t>
        </is>
      </c>
      <c r="B83" s="35" t="n">
        <v>12.2</v>
      </c>
      <c r="C83" s="30" t="inlineStr">
        <is>
          <t>ppg</t>
        </is>
      </c>
      <c r="D83" s="36">
        <f>IFERROR($B$83*119.8264,NA())</f>
        <v/>
      </c>
      <c r="E83" s="30" t="inlineStr">
        <is>
          <t>kg/m3</t>
        </is>
      </c>
    </row>
    <row r="84">
      <c r="A84" s="28" t="inlineStr">
        <is>
          <t>Dilution fluid density (MW_dil)</t>
        </is>
      </c>
      <c r="B84" s="35" t="n">
        <v>8.34</v>
      </c>
      <c r="C84" s="30" t="inlineStr">
        <is>
          <t>ppg</t>
        </is>
      </c>
      <c r="D84" s="36">
        <f>IFERROR($B$84*119.8264,NA())</f>
        <v/>
      </c>
      <c r="E84" s="30" t="inlineStr">
        <is>
          <t>kg/m3</t>
        </is>
      </c>
    </row>
    <row r="85">
      <c r="A85" s="28" t="inlineStr">
        <is>
          <t>Dilution volume required</t>
        </is>
      </c>
      <c r="B85" s="60">
        <f>$B$81*($B$82-$B$83)/($B$83-$B$84)</f>
        <v/>
      </c>
      <c r="C85" s="30" t="inlineStr">
        <is>
          <t>bbl</t>
        </is>
      </c>
      <c r="D85" s="61">
        <f>IFERROR($B$85*0.1589873,NA())</f>
        <v/>
      </c>
      <c r="E85" s="30" t="inlineStr">
        <is>
          <t>m3</t>
        </is>
      </c>
    </row>
    <row r="87">
      <c r="A87" s="25" t="inlineStr">
        <is>
          <t>Blending Two Fluids (Final Density)</t>
        </is>
      </c>
      <c r="B87" s="26" t="n"/>
      <c r="C87" s="26" t="n"/>
      <c r="D87" s="26" t="n"/>
      <c r="E87" s="26" t="n"/>
      <c r="F87" s="49" t="inlineStr">
        <is>
          <t>MW_f = (V1 x MW1 + V2 x MW2) / (V1 + V2)</t>
        </is>
      </c>
    </row>
    <row r="88">
      <c r="A88" s="28" t="inlineStr">
        <is>
          <t>Volume of fluid 1 (V1)</t>
        </is>
      </c>
      <c r="B88" s="31" t="n">
        <v>500</v>
      </c>
      <c r="C88" s="30" t="inlineStr">
        <is>
          <t>bbl</t>
        </is>
      </c>
      <c r="D88" s="32">
        <f>IFERROR($B$88*0.1589873,NA())</f>
        <v/>
      </c>
      <c r="E88" s="30" t="inlineStr">
        <is>
          <t>m3</t>
        </is>
      </c>
    </row>
    <row r="89">
      <c r="A89" s="28" t="inlineStr">
        <is>
          <t>Density of fluid 1 (MW1)</t>
        </is>
      </c>
      <c r="B89" s="35" t="n">
        <v>12</v>
      </c>
      <c r="C89" s="30" t="inlineStr">
        <is>
          <t>ppg</t>
        </is>
      </c>
      <c r="D89" s="36">
        <f>IFERROR($B$89*119.8264,NA())</f>
        <v/>
      </c>
      <c r="E89" s="30" t="inlineStr">
        <is>
          <t>kg/m3</t>
        </is>
      </c>
    </row>
    <row r="90">
      <c r="A90" s="28" t="inlineStr">
        <is>
          <t>Volume of fluid 2 (V2)</t>
        </is>
      </c>
      <c r="B90" s="31" t="n">
        <v>300</v>
      </c>
      <c r="C90" s="30" t="inlineStr">
        <is>
          <t>bbl</t>
        </is>
      </c>
      <c r="D90" s="32">
        <f>IFERROR($B$90*0.1589873,NA())</f>
        <v/>
      </c>
      <c r="E90" s="30" t="inlineStr">
        <is>
          <t>m3</t>
        </is>
      </c>
    </row>
    <row r="91">
      <c r="A91" s="28" t="inlineStr">
        <is>
          <t>Density of fluid 2 (MW2)</t>
        </is>
      </c>
      <c r="B91" s="35" t="n">
        <v>9</v>
      </c>
      <c r="C91" s="30" t="inlineStr">
        <is>
          <t>ppg</t>
        </is>
      </c>
      <c r="D91" s="36">
        <f>IFERROR($B$91*119.8264,NA())</f>
        <v/>
      </c>
      <c r="E91" s="30" t="inlineStr">
        <is>
          <t>kg/m3</t>
        </is>
      </c>
    </row>
    <row r="92">
      <c r="A92" s="28" t="inlineStr">
        <is>
          <t>Blended density</t>
        </is>
      </c>
      <c r="B92" s="56">
        <f>($B$88*$B$89+$B$90*$B$91)/($B$88+$B$90)</f>
        <v/>
      </c>
      <c r="C92" s="30" t="inlineStr">
        <is>
          <t>ppg</t>
        </is>
      </c>
      <c r="D92" s="36">
        <f>IFERROR($B$92*119.8264,NA())</f>
        <v/>
      </c>
      <c r="E92" s="30" t="inlineStr">
        <is>
          <t>kg/m3</t>
        </is>
      </c>
    </row>
    <row r="93">
      <c r="A93" s="28" t="inlineStr">
        <is>
          <t>Total volume</t>
        </is>
      </c>
      <c r="B93" s="59">
        <f>$B$88+$B$90</f>
        <v/>
      </c>
      <c r="C93" s="30" t="inlineStr">
        <is>
          <t>bbl</t>
        </is>
      </c>
      <c r="D93" s="32">
        <f>IFERROR($B$93*0.1589873,NA())</f>
        <v/>
      </c>
      <c r="E93" s="30" t="inlineStr">
        <is>
          <t>m3</t>
        </is>
      </c>
    </row>
  </sheetData>
  <sheetProtection selectLockedCells="0" selectUnlockedCells="0" sheet="1" objects="0" insertRows="1" insertHyperlinks="1" autoFilter="1" scenarios="0" formatColumns="0" deleteColumns="1" insertColumns="1" pivotTables="1" deleteRows="1" formatCells="1" formatRows="0" sort="1"/>
  <mergeCells count="6">
    <mergeCell ref="A2:F2"/>
    <mergeCell ref="A47:F47"/>
    <mergeCell ref="A1:F1"/>
    <mergeCell ref="A6:F6"/>
    <mergeCell ref="A35:F35"/>
    <mergeCell ref="A62:F62"/>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F108"/>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Capacities, Displacement &amp; Pump Output</t>
        </is>
      </c>
      <c r="B1" s="2" t="n"/>
      <c r="C1" s="2" t="n"/>
      <c r="D1" s="2" t="n"/>
      <c r="E1" s="2" t="n"/>
      <c r="F1" s="2" t="n"/>
    </row>
    <row r="2">
      <c r="A2" s="20" t="inlineStr">
        <is>
          <t>Pipe and annular capacities, hole volume, pump output, circulation strokes, tripping and slug</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Pipe, Annulus &amp; Hole Capacities</t>
        </is>
      </c>
      <c r="B6" s="24" t="n"/>
      <c r="C6" s="24" t="n"/>
      <c r="D6" s="24" t="n"/>
      <c r="E6" s="24" t="n"/>
      <c r="F6" s="24" t="n"/>
    </row>
    <row r="8">
      <c r="A8" s="25" t="inlineStr">
        <is>
          <t>Pipe (Internal) Capacity</t>
        </is>
      </c>
      <c r="B8" s="26" t="n"/>
      <c r="C8" s="26" t="n"/>
      <c r="D8" s="26" t="n"/>
      <c r="E8" s="26" t="n"/>
      <c r="F8" s="49" t="inlineStr">
        <is>
          <t>C_pipe [bbl/ft] = ID^2 / 1029.4</t>
        </is>
      </c>
    </row>
    <row r="9">
      <c r="A9" s="28" t="inlineStr">
        <is>
          <t>Pipe inside diameter (ID)</t>
        </is>
      </c>
      <c r="B9" s="33" t="n">
        <v>4.276</v>
      </c>
      <c r="C9" s="30" t="inlineStr">
        <is>
          <t>in</t>
        </is>
      </c>
      <c r="D9" s="34">
        <f>IFERROR($B$9*25.4,NA())</f>
        <v/>
      </c>
      <c r="E9" s="30" t="inlineStr">
        <is>
          <t>mm</t>
        </is>
      </c>
    </row>
    <row r="10">
      <c r="A10" s="28" t="inlineStr">
        <is>
          <t>Pipe capacity</t>
        </is>
      </c>
      <c r="B10" s="52">
        <f>$B$9^2/1029.4</f>
        <v/>
      </c>
      <c r="C10" s="30" t="inlineStr">
        <is>
          <t>bbl/ft</t>
        </is>
      </c>
      <c r="D10" s="53">
        <f>IFERROR($B$10*0.5216119,NA())</f>
        <v/>
      </c>
      <c r="E10" s="30" t="inlineStr">
        <is>
          <t>m3/m</t>
        </is>
      </c>
      <c r="F10" s="27" t="inlineStr">
        <is>
          <t>5 in 19.5 lb/ft drill pipe shown.</t>
        </is>
      </c>
    </row>
    <row r="12">
      <c r="A12" s="25" t="inlineStr">
        <is>
          <t>Annular Capacity</t>
        </is>
      </c>
      <c r="B12" s="26" t="n"/>
      <c r="C12" s="26" t="n"/>
      <c r="D12" s="26" t="n"/>
      <c r="E12" s="26" t="n"/>
      <c r="F12" s="49" t="inlineStr">
        <is>
          <t>C_ann [bbl/ft] = (Dh^2 - Dp^2) / 1029.4</t>
        </is>
      </c>
    </row>
    <row r="13">
      <c r="A13" s="28" t="inlineStr">
        <is>
          <t>Hole (or casing ID) diameter (Dh)</t>
        </is>
      </c>
      <c r="B13" s="33" t="n">
        <v>8.5</v>
      </c>
      <c r="C13" s="30" t="inlineStr">
        <is>
          <t>in</t>
        </is>
      </c>
      <c r="D13" s="34">
        <f>IFERROR($B$13*25.4,NA())</f>
        <v/>
      </c>
      <c r="E13" s="30" t="inlineStr">
        <is>
          <t>mm</t>
        </is>
      </c>
    </row>
    <row r="14">
      <c r="A14" s="28" t="inlineStr">
        <is>
          <t>Pipe outside diameter (Dp)</t>
        </is>
      </c>
      <c r="B14" s="33" t="n">
        <v>5</v>
      </c>
      <c r="C14" s="30" t="inlineStr">
        <is>
          <t>in</t>
        </is>
      </c>
      <c r="D14" s="34">
        <f>IFERROR($B$14*25.4,NA())</f>
        <v/>
      </c>
      <c r="E14" s="30" t="inlineStr">
        <is>
          <t>mm</t>
        </is>
      </c>
    </row>
    <row r="15">
      <c r="A15" s="28" t="inlineStr">
        <is>
          <t>Annular capacity</t>
        </is>
      </c>
      <c r="B15" s="52">
        <f>($B$13^2-$B$14^2)/1029.4</f>
        <v/>
      </c>
      <c r="C15" s="30" t="inlineStr">
        <is>
          <t>bbl/ft</t>
        </is>
      </c>
      <c r="D15" s="53">
        <f>IFERROR($B$15*0.5216119,NA())</f>
        <v/>
      </c>
      <c r="E15" s="30" t="inlineStr">
        <is>
          <t>m3/m</t>
        </is>
      </c>
    </row>
    <row r="17">
      <c r="A17" s="25" t="inlineStr">
        <is>
          <t>Pipe Displacement</t>
        </is>
      </c>
      <c r="B17" s="26" t="n"/>
      <c r="C17" s="26" t="n"/>
      <c r="D17" s="26" t="n"/>
      <c r="E17" s="26" t="n"/>
      <c r="F17" s="49" t="inlineStr">
        <is>
          <t>Closed-end [bbl/ft] = OD^2 / 1029.4;   Open-end (steel) [bbl/ft] = (OD^2 - ID^2) / 1029.4</t>
        </is>
      </c>
    </row>
    <row r="18">
      <c r="A18" t="inlineStr"/>
      <c r="F18" s="27" t="inlineStr">
        <is>
          <t>Open-end = steel displacement (tripping with open pipe). Closed-end = capacity + steel (plugged bit / float).</t>
        </is>
      </c>
    </row>
    <row r="19">
      <c r="A19" s="28" t="inlineStr">
        <is>
          <t>Pipe outside diameter (OD)</t>
        </is>
      </c>
      <c r="B19" s="33" t="n">
        <v>5</v>
      </c>
      <c r="C19" s="30" t="inlineStr">
        <is>
          <t>in</t>
        </is>
      </c>
      <c r="D19" s="34">
        <f>IFERROR($B$19*25.4,NA())</f>
        <v/>
      </c>
      <c r="E19" s="30" t="inlineStr">
        <is>
          <t>mm</t>
        </is>
      </c>
    </row>
    <row r="20">
      <c r="A20" s="28" t="inlineStr">
        <is>
          <t>Pipe inside diameter (ID)</t>
        </is>
      </c>
      <c r="B20" s="33" t="n">
        <v>4.276</v>
      </c>
      <c r="C20" s="30" t="inlineStr">
        <is>
          <t>in</t>
        </is>
      </c>
      <c r="D20" s="34">
        <f>IFERROR($B$20*25.4,NA())</f>
        <v/>
      </c>
      <c r="E20" s="30" t="inlineStr">
        <is>
          <t>mm</t>
        </is>
      </c>
    </row>
    <row r="21">
      <c r="A21" s="28" t="inlineStr">
        <is>
          <t>Closed-end displacement</t>
        </is>
      </c>
      <c r="B21" s="52">
        <f>$B$19^2/1029.4</f>
        <v/>
      </c>
      <c r="C21" s="30" t="inlineStr">
        <is>
          <t>bbl/ft</t>
        </is>
      </c>
      <c r="D21" s="53">
        <f>IFERROR($B$21*0.5216119,NA())</f>
        <v/>
      </c>
      <c r="E21" s="30" t="inlineStr">
        <is>
          <t>m3/m</t>
        </is>
      </c>
    </row>
    <row r="22">
      <c r="A22" s="28" t="inlineStr">
        <is>
          <t>Open-end (steel) displacement</t>
        </is>
      </c>
      <c r="B22" s="52">
        <f>($B$19^2-$B$20^2)/1029.4</f>
        <v/>
      </c>
      <c r="C22" s="30" t="inlineStr">
        <is>
          <t>bbl/ft</t>
        </is>
      </c>
      <c r="D22" s="53">
        <f>IFERROR($B$22*0.5216119,NA())</f>
        <v/>
      </c>
      <c r="E22" s="30" t="inlineStr">
        <is>
          <t>m3/m</t>
        </is>
      </c>
    </row>
    <row r="24">
      <c r="A24" s="25" t="inlineStr">
        <is>
          <t>Hole Volume</t>
        </is>
      </c>
      <c r="B24" s="26" t="n"/>
      <c r="C24" s="26" t="n"/>
      <c r="D24" s="26" t="n"/>
      <c r="E24" s="26" t="n"/>
      <c r="F24" s="49" t="inlineStr">
        <is>
          <t>V [bbl] = Dh^2 / 1029.4 x L x (1 + washout)</t>
        </is>
      </c>
    </row>
    <row r="25">
      <c r="A25" t="inlineStr"/>
      <c r="F25" s="27" t="inlineStr">
        <is>
          <t>Washout entered as a fraction (0.10 = 10% over-gauge).</t>
        </is>
      </c>
    </row>
    <row r="26">
      <c r="A26" s="28" t="inlineStr">
        <is>
          <t>Hole diameter (Dh)</t>
        </is>
      </c>
      <c r="B26" s="33" t="n">
        <v>8.5</v>
      </c>
      <c r="C26" s="30" t="inlineStr">
        <is>
          <t>in</t>
        </is>
      </c>
      <c r="D26" s="34">
        <f>IFERROR($B$26*25.4,NA())</f>
        <v/>
      </c>
      <c r="E26" s="30" t="inlineStr">
        <is>
          <t>mm</t>
        </is>
      </c>
    </row>
    <row r="27">
      <c r="A27" s="28" t="inlineStr">
        <is>
          <t>Hole length</t>
        </is>
      </c>
      <c r="B27" s="31" t="n">
        <v>10000</v>
      </c>
      <c r="C27" s="30" t="inlineStr">
        <is>
          <t>ft</t>
        </is>
      </c>
      <c r="D27" s="32">
        <f>IFERROR($B$27*0.3048,NA())</f>
        <v/>
      </c>
      <c r="E27" s="30" t="inlineStr">
        <is>
          <t>m</t>
        </is>
      </c>
    </row>
    <row r="28">
      <c r="A28" s="28" t="inlineStr">
        <is>
          <t>Washout factor</t>
        </is>
      </c>
      <c r="B28" s="41" t="n">
        <v>0.1</v>
      </c>
      <c r="C28" s="30" t="inlineStr"/>
      <c r="F28" s="27" t="inlineStr">
        <is>
          <t>Fraction of excess over gauge hole.</t>
        </is>
      </c>
    </row>
    <row r="29">
      <c r="A29" s="28" t="inlineStr">
        <is>
          <t>Hole volume</t>
        </is>
      </c>
      <c r="B29" s="59">
        <f>$B$26^2/1029.4*$B$27*(1+$B$28)</f>
        <v/>
      </c>
      <c r="C29" s="30" t="inlineStr">
        <is>
          <t>bbl</t>
        </is>
      </c>
      <c r="D29" s="32">
        <f>IFERROR($B$29*0.1589873,NA())</f>
        <v/>
      </c>
      <c r="E29" s="30" t="inlineStr">
        <is>
          <t>m3</t>
        </is>
      </c>
    </row>
    <row r="31" ht="20" customHeight="1">
      <c r="A31" s="23" t="inlineStr">
        <is>
          <t>Pump Output &amp; Flow Rate</t>
        </is>
      </c>
      <c r="B31" s="24" t="n"/>
      <c r="C31" s="24" t="n"/>
      <c r="D31" s="24" t="n"/>
      <c r="E31" s="24" t="n"/>
      <c r="F31" s="24" t="n"/>
    </row>
    <row r="33">
      <c r="A33" s="25" t="inlineStr">
        <is>
          <t>Triplex Pump Output</t>
        </is>
      </c>
      <c r="B33" s="26" t="n"/>
      <c r="C33" s="26" t="n"/>
      <c r="D33" s="26" t="n"/>
      <c r="E33" s="26" t="n"/>
      <c r="F33" s="49" t="inlineStr">
        <is>
          <t>Q [bbl/stk] = 0.000243 x D_liner^2 x L_stroke x eff</t>
        </is>
      </c>
    </row>
    <row r="34">
      <c r="A34" t="inlineStr"/>
      <c r="F34" s="27" t="inlineStr">
        <is>
          <t>Single-acting, three cylinders. D and stroke in inches; eff as a fraction (0.95-0.98 typical).</t>
        </is>
      </c>
    </row>
    <row r="35">
      <c r="A35" s="28" t="inlineStr">
        <is>
          <t>Liner diameter (D)</t>
        </is>
      </c>
      <c r="B35" s="33" t="n">
        <v>6</v>
      </c>
      <c r="C35" s="30" t="inlineStr">
        <is>
          <t>in</t>
        </is>
      </c>
      <c r="D35" s="34">
        <f>IFERROR($B$35*25.4,NA())</f>
        <v/>
      </c>
      <c r="E35" s="30" t="inlineStr">
        <is>
          <t>mm</t>
        </is>
      </c>
    </row>
    <row r="36">
      <c r="A36" s="28" t="inlineStr">
        <is>
          <t>Stroke length (L)</t>
        </is>
      </c>
      <c r="B36" s="37" t="n">
        <v>12</v>
      </c>
      <c r="C36" s="30" t="inlineStr">
        <is>
          <t>in</t>
        </is>
      </c>
      <c r="D36" s="40">
        <f>IFERROR($B$36*25.4,NA())</f>
        <v/>
      </c>
      <c r="E36" s="30" t="inlineStr">
        <is>
          <t>mm</t>
        </is>
      </c>
    </row>
    <row r="37">
      <c r="A37" s="28" t="inlineStr">
        <is>
          <t>Volumetric efficiency</t>
        </is>
      </c>
      <c r="B37" s="41" t="n">
        <v>0.95</v>
      </c>
      <c r="C37" s="30" t="inlineStr"/>
    </row>
    <row r="38">
      <c r="A38" s="28" t="inlineStr">
        <is>
          <t>Pump output</t>
        </is>
      </c>
      <c r="B38" s="52">
        <f>0.000243*$B$35^2*$B$36*$B$37</f>
        <v/>
      </c>
      <c r="C38" s="30" t="inlineStr">
        <is>
          <t>bbl/stk</t>
        </is>
      </c>
      <c r="D38" s="53">
        <f>IFERROR($B$38*158.9873,NA())</f>
        <v/>
      </c>
      <c r="E38" s="30" t="inlineStr">
        <is>
          <t>L/stk</t>
        </is>
      </c>
    </row>
    <row r="40">
      <c r="A40" s="25" t="inlineStr">
        <is>
          <t>Duplex Pump Output</t>
        </is>
      </c>
      <c r="B40" s="26" t="n"/>
      <c r="C40" s="26" t="n"/>
      <c r="D40" s="26" t="n"/>
      <c r="E40" s="26" t="n"/>
      <c r="F40" s="49" t="inlineStr">
        <is>
          <t>Q [bbl/stk] = 0.000162 x L_stroke x (2 x D_liner^2 - d_rod^2) x eff</t>
        </is>
      </c>
    </row>
    <row r="41">
      <c r="A41" t="inlineStr"/>
      <c r="F41" s="27" t="inlineStr">
        <is>
          <t>Double-acting, two cylinders; d = piston rod diameter. Eff 0.85-0.90 typical.</t>
        </is>
      </c>
    </row>
    <row r="42">
      <c r="A42" s="28" t="inlineStr">
        <is>
          <t>Liner diameter (D)</t>
        </is>
      </c>
      <c r="B42" s="33" t="n">
        <v>6.5</v>
      </c>
      <c r="C42" s="30" t="inlineStr">
        <is>
          <t>in</t>
        </is>
      </c>
      <c r="D42" s="34">
        <f>IFERROR($B$42*25.4,NA())</f>
        <v/>
      </c>
      <c r="E42" s="30" t="inlineStr">
        <is>
          <t>mm</t>
        </is>
      </c>
    </row>
    <row r="43">
      <c r="A43" s="28" t="inlineStr">
        <is>
          <t>Rod diameter (d)</t>
        </is>
      </c>
      <c r="B43" s="33" t="n">
        <v>2.5</v>
      </c>
      <c r="C43" s="30" t="inlineStr">
        <is>
          <t>in</t>
        </is>
      </c>
      <c r="D43" s="34">
        <f>IFERROR($B$43*25.4,NA())</f>
        <v/>
      </c>
      <c r="E43" s="30" t="inlineStr">
        <is>
          <t>mm</t>
        </is>
      </c>
    </row>
    <row r="44">
      <c r="A44" s="28" t="inlineStr">
        <is>
          <t>Stroke length (L)</t>
        </is>
      </c>
      <c r="B44" s="37" t="n">
        <v>14</v>
      </c>
      <c r="C44" s="30" t="inlineStr">
        <is>
          <t>in</t>
        </is>
      </c>
      <c r="D44" s="40">
        <f>IFERROR($B$44*25.4,NA())</f>
        <v/>
      </c>
      <c r="E44" s="30" t="inlineStr">
        <is>
          <t>mm</t>
        </is>
      </c>
    </row>
    <row r="45">
      <c r="A45" s="28" t="inlineStr">
        <is>
          <t>Volumetric efficiency</t>
        </is>
      </c>
      <c r="B45" s="41" t="n">
        <v>0.9</v>
      </c>
      <c r="C45" s="30" t="inlineStr"/>
    </row>
    <row r="46">
      <c r="A46" s="28" t="inlineStr">
        <is>
          <t>Pump output</t>
        </is>
      </c>
      <c r="B46" s="52">
        <f>0.000162*$B$44*(2*$B$42^2-$B$43^2)*$B$45</f>
        <v/>
      </c>
      <c r="C46" s="30" t="inlineStr">
        <is>
          <t>bbl/stk</t>
        </is>
      </c>
      <c r="D46" s="53">
        <f>IFERROR($B$46*158.9873,NA())</f>
        <v/>
      </c>
      <c r="E46" s="30" t="inlineStr">
        <is>
          <t>L/stk</t>
        </is>
      </c>
    </row>
    <row r="48">
      <c r="A48" s="25" t="inlineStr">
        <is>
          <t>Pump Flow Rate from Stroke Rate</t>
        </is>
      </c>
      <c r="B48" s="26" t="n"/>
      <c r="C48" s="26" t="n"/>
      <c r="D48" s="26" t="n"/>
      <c r="E48" s="26" t="n"/>
      <c r="F48" s="49" t="inlineStr">
        <is>
          <t>Q [bbl/min] = output [bbl/stk] x SPM;   Q [gpm] = bbl/min x 42</t>
        </is>
      </c>
    </row>
    <row r="49">
      <c r="A49" s="28" t="inlineStr">
        <is>
          <t>Pump output</t>
        </is>
      </c>
      <c r="B49" s="62" t="n">
        <v>0.0997</v>
      </c>
      <c r="C49" s="30" t="inlineStr">
        <is>
          <t>bbl/stk</t>
        </is>
      </c>
      <c r="D49" s="53">
        <f>IFERROR($B$49*158.9873,NA())</f>
        <v/>
      </c>
      <c r="E49" s="30" t="inlineStr">
        <is>
          <t>L/stk</t>
        </is>
      </c>
    </row>
    <row r="50">
      <c r="A50" s="28" t="inlineStr">
        <is>
          <t>Pump speed</t>
        </is>
      </c>
      <c r="B50" s="31" t="n">
        <v>60</v>
      </c>
      <c r="C50" s="30" t="inlineStr">
        <is>
          <t>spm</t>
        </is>
      </c>
      <c r="F50" s="27" t="inlineStr">
        <is>
          <t>Strokes per minute.</t>
        </is>
      </c>
    </row>
    <row r="51">
      <c r="A51" s="28" t="inlineStr">
        <is>
          <t>Flow rate</t>
        </is>
      </c>
      <c r="B51" s="51">
        <f>$B$49*$B$50</f>
        <v/>
      </c>
      <c r="C51" s="30" t="inlineStr">
        <is>
          <t>bbl/min</t>
        </is>
      </c>
      <c r="D51" s="42">
        <f>IFERROR($B$51*0.1589873,NA())</f>
        <v/>
      </c>
      <c r="E51" s="30" t="inlineStr">
        <is>
          <t>m3/min</t>
        </is>
      </c>
    </row>
    <row r="52">
      <c r="A52" s="28" t="inlineStr">
        <is>
          <t>Flow rate</t>
        </is>
      </c>
      <c r="B52" s="59">
        <f>$B$51*42</f>
        <v/>
      </c>
      <c r="C52" s="30" t="inlineStr">
        <is>
          <t>gpm</t>
        </is>
      </c>
      <c r="D52" s="32">
        <f>IFERROR($B$52*3.785412,NA())</f>
        <v/>
      </c>
      <c r="E52" s="30" t="inlineStr">
        <is>
          <t>L/min</t>
        </is>
      </c>
    </row>
    <row r="54" ht="20" customHeight="1">
      <c r="A54" s="23" t="inlineStr">
        <is>
          <t>Circulation Strokes &amp; Lag Time</t>
        </is>
      </c>
      <c r="B54" s="24" t="n"/>
      <c r="C54" s="24" t="n"/>
      <c r="D54" s="24" t="n"/>
      <c r="E54" s="24" t="n"/>
      <c r="F54" s="24" t="n"/>
    </row>
    <row r="56">
      <c r="A56" s="25" t="inlineStr">
        <is>
          <t>Surface-to-Bit Strokes &amp; Time</t>
        </is>
      </c>
      <c r="B56" s="26" t="n"/>
      <c r="C56" s="26" t="n"/>
      <c r="D56" s="26" t="n"/>
      <c r="E56" s="26" t="n"/>
      <c r="F56" s="49" t="inlineStr">
        <is>
          <t>Strokes = string volume / pump output;   Time [min] = strokes / SPM</t>
        </is>
      </c>
    </row>
    <row r="57">
      <c r="A57" t="inlineStr"/>
      <c r="F57" s="27" t="inlineStr">
        <is>
          <t>String volume = drill string internal capacity x measured length (add BHA capacity if significant).</t>
        </is>
      </c>
    </row>
    <row r="58">
      <c r="A58" s="28" t="inlineStr">
        <is>
          <t>Drill string capacity</t>
        </is>
      </c>
      <c r="B58" s="62" t="n">
        <v>0.01776</v>
      </c>
      <c r="C58" s="30" t="inlineStr">
        <is>
          <t>bbl/ft</t>
        </is>
      </c>
      <c r="D58" s="53">
        <f>IFERROR($B$58*0.5216119,NA())</f>
        <v/>
      </c>
      <c r="E58" s="30" t="inlineStr">
        <is>
          <t>m3/m</t>
        </is>
      </c>
    </row>
    <row r="59">
      <c r="A59" s="28" t="inlineStr">
        <is>
          <t>Drill string measured length</t>
        </is>
      </c>
      <c r="B59" s="31" t="n">
        <v>10000</v>
      </c>
      <c r="C59" s="30" t="inlineStr">
        <is>
          <t>ft</t>
        </is>
      </c>
      <c r="D59" s="32">
        <f>IFERROR($B$59*0.3048,NA())</f>
        <v/>
      </c>
      <c r="E59" s="30" t="inlineStr">
        <is>
          <t>m</t>
        </is>
      </c>
    </row>
    <row r="60">
      <c r="A60" s="28" t="inlineStr">
        <is>
          <t>Pump output</t>
        </is>
      </c>
      <c r="B60" s="62" t="n">
        <v>0.0997</v>
      </c>
      <c r="C60" s="30" t="inlineStr">
        <is>
          <t>bbl/stk</t>
        </is>
      </c>
      <c r="D60" s="53">
        <f>IFERROR($B$60*158.9873,NA())</f>
        <v/>
      </c>
      <c r="E60" s="30" t="inlineStr">
        <is>
          <t>L/stk</t>
        </is>
      </c>
    </row>
    <row r="61">
      <c r="A61" s="28" t="inlineStr">
        <is>
          <t>Pump speed</t>
        </is>
      </c>
      <c r="B61" s="31" t="n">
        <v>60</v>
      </c>
      <c r="C61" s="30" t="inlineStr">
        <is>
          <t>spm</t>
        </is>
      </c>
    </row>
    <row r="62">
      <c r="A62" s="28" t="inlineStr">
        <is>
          <t>String volume</t>
        </is>
      </c>
      <c r="B62" s="60">
        <f>$B$58*$B$59</f>
        <v/>
      </c>
      <c r="C62" s="30" t="inlineStr">
        <is>
          <t>bbl</t>
        </is>
      </c>
      <c r="D62" s="61">
        <f>IFERROR($B$62*0.1589873,NA())</f>
        <v/>
      </c>
      <c r="E62" s="30" t="inlineStr">
        <is>
          <t>m3</t>
        </is>
      </c>
    </row>
    <row r="63">
      <c r="A63" s="28" t="inlineStr">
        <is>
          <t>Surface-to-bit strokes</t>
        </is>
      </c>
      <c r="B63" s="59">
        <f>ROUNDUP(ROUND($B$62/$B$60,6),0)</f>
        <v/>
      </c>
      <c r="C63" s="30" t="inlineStr">
        <is>
          <t>stk</t>
        </is>
      </c>
    </row>
    <row r="64">
      <c r="A64" s="28" t="inlineStr">
        <is>
          <t>Surface-to-bit time</t>
        </is>
      </c>
      <c r="B64" s="54">
        <f>$B$63/$B$61</f>
        <v/>
      </c>
      <c r="C64" s="30" t="inlineStr">
        <is>
          <t>min</t>
        </is>
      </c>
    </row>
    <row r="66">
      <c r="A66" s="25" t="inlineStr">
        <is>
          <t>Bottoms-Up Strokes &amp; Lag Time</t>
        </is>
      </c>
      <c r="B66" s="26" t="n"/>
      <c r="C66" s="26" t="n"/>
      <c r="D66" s="26" t="n"/>
      <c r="E66" s="26" t="n"/>
      <c r="F66" s="49" t="inlineStr">
        <is>
          <t>Strokes = annular volume / pump output;   Lag time [min] = strokes / SPM</t>
        </is>
      </c>
    </row>
    <row r="67">
      <c r="A67" t="inlineStr"/>
      <c r="F67" s="27" t="inlineStr">
        <is>
          <t>Annular volume = annular capacity x length; sum open-hole and cased-hole sections for accuracy.</t>
        </is>
      </c>
    </row>
    <row r="68">
      <c r="A68" s="28" t="inlineStr">
        <is>
          <t>Annular capacity</t>
        </is>
      </c>
      <c r="B68" s="62" t="n">
        <v>0.0459</v>
      </c>
      <c r="C68" s="30" t="inlineStr">
        <is>
          <t>bbl/ft</t>
        </is>
      </c>
      <c r="D68" s="53">
        <f>IFERROR($B$68*0.5216119,NA())</f>
        <v/>
      </c>
      <c r="E68" s="30" t="inlineStr">
        <is>
          <t>m3/m</t>
        </is>
      </c>
    </row>
    <row r="69">
      <c r="A69" s="28" t="inlineStr">
        <is>
          <t>Annulus length</t>
        </is>
      </c>
      <c r="B69" s="31" t="n">
        <v>10000</v>
      </c>
      <c r="C69" s="30" t="inlineStr">
        <is>
          <t>ft</t>
        </is>
      </c>
      <c r="D69" s="32">
        <f>IFERROR($B$69*0.3048,NA())</f>
        <v/>
      </c>
      <c r="E69" s="30" t="inlineStr">
        <is>
          <t>m</t>
        </is>
      </c>
    </row>
    <row r="70">
      <c r="A70" s="28" t="inlineStr">
        <is>
          <t>Pump output</t>
        </is>
      </c>
      <c r="B70" s="62" t="n">
        <v>0.0997</v>
      </c>
      <c r="C70" s="30" t="inlineStr">
        <is>
          <t>bbl/stk</t>
        </is>
      </c>
      <c r="D70" s="53">
        <f>IFERROR($B$70*158.9873,NA())</f>
        <v/>
      </c>
      <c r="E70" s="30" t="inlineStr">
        <is>
          <t>L/stk</t>
        </is>
      </c>
    </row>
    <row r="71">
      <c r="A71" s="28" t="inlineStr">
        <is>
          <t>Pump speed</t>
        </is>
      </c>
      <c r="B71" s="31" t="n">
        <v>60</v>
      </c>
      <c r="C71" s="30" t="inlineStr">
        <is>
          <t>spm</t>
        </is>
      </c>
    </row>
    <row r="72">
      <c r="A72" s="28" t="inlineStr">
        <is>
          <t>Annular volume</t>
        </is>
      </c>
      <c r="B72" s="60">
        <f>$B$68*$B$69</f>
        <v/>
      </c>
      <c r="C72" s="30" t="inlineStr">
        <is>
          <t>bbl</t>
        </is>
      </c>
      <c r="D72" s="61">
        <f>IFERROR($B$72*0.1589873,NA())</f>
        <v/>
      </c>
      <c r="E72" s="30" t="inlineStr">
        <is>
          <t>m3</t>
        </is>
      </c>
    </row>
    <row r="73">
      <c r="A73" s="28" t="inlineStr">
        <is>
          <t>Bottoms-up strokes</t>
        </is>
      </c>
      <c r="B73" s="59">
        <f>ROUNDUP(ROUND($B$72/$B$70,6),0)</f>
        <v/>
      </c>
      <c r="C73" s="30" t="inlineStr">
        <is>
          <t>stk</t>
        </is>
      </c>
    </row>
    <row r="74">
      <c r="A74" s="28" t="inlineStr">
        <is>
          <t>Bottoms-up (lag) time</t>
        </is>
      </c>
      <c r="B74" s="54">
        <f>$B$73/$B$71</f>
        <v/>
      </c>
      <c r="C74" s="30" t="inlineStr">
        <is>
          <t>min</t>
        </is>
      </c>
    </row>
    <row r="76">
      <c r="A76" s="25" t="inlineStr">
        <is>
          <t>Total Circulation (Surface-to-Surface)</t>
        </is>
      </c>
      <c r="B76" s="26" t="n"/>
      <c r="C76" s="26" t="n"/>
      <c r="D76" s="26" t="n"/>
      <c r="E76" s="26" t="n"/>
      <c r="F76" s="49" t="inlineStr">
        <is>
          <t>Total = surface-to-bit + bottoms-up</t>
        </is>
      </c>
    </row>
    <row r="77">
      <c r="A77" t="inlineStr"/>
      <c r="F77" s="27" t="inlineStr">
        <is>
          <t>Uses the two calculators above. Total cycle time is one complete circulation of the well.</t>
        </is>
      </c>
    </row>
    <row r="78">
      <c r="A78" s="28" t="inlineStr">
        <is>
          <t>Total circulating volume</t>
        </is>
      </c>
      <c r="B78" s="60">
        <f>$B$62+$B$72</f>
        <v/>
      </c>
      <c r="C78" s="30" t="inlineStr">
        <is>
          <t>bbl</t>
        </is>
      </c>
      <c r="D78" s="61">
        <f>IFERROR($B$78*0.1589873,NA())</f>
        <v/>
      </c>
      <c r="E78" s="30" t="inlineStr">
        <is>
          <t>m3</t>
        </is>
      </c>
    </row>
    <row r="79">
      <c r="A79" s="28" t="inlineStr">
        <is>
          <t>Total circulation strokes</t>
        </is>
      </c>
      <c r="B79" s="59">
        <f>$B$63+$B$73</f>
        <v/>
      </c>
      <c r="C79" s="30" t="inlineStr">
        <is>
          <t>stk</t>
        </is>
      </c>
    </row>
    <row r="80">
      <c r="A80" s="28" t="inlineStr">
        <is>
          <t>Total circulation time</t>
        </is>
      </c>
      <c r="B80" s="54">
        <f>$B$64+$B$74</f>
        <v/>
      </c>
      <c r="C80" s="30" t="inlineStr">
        <is>
          <t>min</t>
        </is>
      </c>
    </row>
    <row r="82" ht="20" customHeight="1">
      <c r="A82" s="23" t="inlineStr">
        <is>
          <t>Tripping &amp; Slug</t>
        </is>
      </c>
      <c r="B82" s="24" t="n"/>
      <c r="C82" s="24" t="n"/>
      <c r="D82" s="24" t="n"/>
      <c r="E82" s="24" t="n"/>
      <c r="F82" s="24" t="n"/>
    </row>
    <row r="84">
      <c r="A84" s="25" t="inlineStr">
        <is>
          <t>Drill String Displacement While Tripping</t>
        </is>
      </c>
      <c r="B84" s="26" t="n"/>
      <c r="C84" s="26" t="n"/>
      <c r="D84" s="26" t="n"/>
      <c r="E84" s="26" t="n"/>
      <c r="F84" s="49" t="inlineStr">
        <is>
          <t>Dry [bbl/ft] = (OD^2 - ID^2)/1029.4;   Wet [bbl/ft] = OD^2/1029.4 (steel + contents)</t>
        </is>
      </c>
    </row>
    <row r="85">
      <c r="A85" t="inlineStr"/>
      <c r="F85" s="27" t="inlineStr">
        <is>
          <t>Dry pipe: hole fill (pulling) or pit gain (running) equals steel volume only. Wet pipe (no float / plugged bit not draining): add the pipe contents.</t>
        </is>
      </c>
    </row>
    <row r="86">
      <c r="A86" s="28" t="inlineStr">
        <is>
          <t>Pipe outside diameter (OD)</t>
        </is>
      </c>
      <c r="B86" s="33" t="n">
        <v>5</v>
      </c>
      <c r="C86" s="30" t="inlineStr">
        <is>
          <t>in</t>
        </is>
      </c>
      <c r="D86" s="34">
        <f>IFERROR($B$86*25.4,NA())</f>
        <v/>
      </c>
      <c r="E86" s="30" t="inlineStr">
        <is>
          <t>mm</t>
        </is>
      </c>
    </row>
    <row r="87">
      <c r="A87" s="28" t="inlineStr">
        <is>
          <t>Pipe inside diameter (ID)</t>
        </is>
      </c>
      <c r="B87" s="33" t="n">
        <v>4.276</v>
      </c>
      <c r="C87" s="30" t="inlineStr">
        <is>
          <t>in</t>
        </is>
      </c>
      <c r="D87" s="34">
        <f>IFERROR($B$87*25.4,NA())</f>
        <v/>
      </c>
      <c r="E87" s="30" t="inlineStr">
        <is>
          <t>mm</t>
        </is>
      </c>
    </row>
    <row r="88">
      <c r="A88" s="28" t="inlineStr">
        <is>
          <t>Average stand length</t>
        </is>
      </c>
      <c r="B88" s="37" t="n">
        <v>93</v>
      </c>
      <c r="C88" s="30" t="inlineStr">
        <is>
          <t>ft</t>
        </is>
      </c>
      <c r="D88" s="40">
        <f>IFERROR($B$88*0.3048,NA())</f>
        <v/>
      </c>
      <c r="E88" s="30" t="inlineStr">
        <is>
          <t>m</t>
        </is>
      </c>
    </row>
    <row r="89">
      <c r="A89" s="28" t="inlineStr">
        <is>
          <t>Number of stands pulled</t>
        </is>
      </c>
      <c r="B89" s="31" t="n">
        <v>10</v>
      </c>
      <c r="C89" s="30" t="inlineStr"/>
      <c r="F89" s="27" t="inlineStr">
        <is>
          <t>Stands between flow checks / trip tank readings.</t>
        </is>
      </c>
    </row>
    <row r="90">
      <c r="A90" s="28" t="inlineStr">
        <is>
          <t>Dry displacement</t>
        </is>
      </c>
      <c r="B90" s="52">
        <f>($B$86^2-$B$87^2)/1029.4</f>
        <v/>
      </c>
      <c r="C90" s="30" t="inlineStr">
        <is>
          <t>bbl/ft</t>
        </is>
      </c>
      <c r="D90" s="53">
        <f>IFERROR($B$90*0.5216119,NA())</f>
        <v/>
      </c>
      <c r="E90" s="30" t="inlineStr">
        <is>
          <t>m3/m</t>
        </is>
      </c>
    </row>
    <row r="91">
      <c r="A91" s="28" t="inlineStr">
        <is>
          <t>Wet displacement</t>
        </is>
      </c>
      <c r="B91" s="52">
        <f>$B$86^2/1029.4</f>
        <v/>
      </c>
      <c r="C91" s="30" t="inlineStr">
        <is>
          <t>bbl/ft</t>
        </is>
      </c>
      <c r="D91" s="53">
        <f>IFERROR($B$91*0.5216119,NA())</f>
        <v/>
      </c>
      <c r="E91" s="30" t="inlineStr">
        <is>
          <t>m3/m</t>
        </is>
      </c>
    </row>
    <row r="92">
      <c r="A92" s="28" t="inlineStr">
        <is>
          <t>Expected pit change - dry pipe</t>
        </is>
      </c>
      <c r="B92" s="51">
        <f>$B$90*$B$88*$B$89</f>
        <v/>
      </c>
      <c r="C92" s="30" t="inlineStr">
        <is>
          <t>bbl</t>
        </is>
      </c>
      <c r="D92" s="42">
        <f>IFERROR($B$92*0.1589873,NA())</f>
        <v/>
      </c>
      <c r="E92" s="30" t="inlineStr">
        <is>
          <t>m3</t>
        </is>
      </c>
      <c r="F92" s="27" t="inlineStr">
        <is>
          <t>Hole should take this much mud when pulling dry; deviation indicates swabbing or losses.</t>
        </is>
      </c>
    </row>
    <row r="93">
      <c r="A93" s="28" t="inlineStr">
        <is>
          <t>Expected pit change - wet pipe</t>
        </is>
      </c>
      <c r="B93" s="51">
        <f>$B$91*$B$88*$B$89</f>
        <v/>
      </c>
      <c r="C93" s="30" t="inlineStr">
        <is>
          <t>bbl</t>
        </is>
      </c>
      <c r="D93" s="42">
        <f>IFERROR($B$93*0.1589873,NA())</f>
        <v/>
      </c>
      <c r="E93" s="30" t="inlineStr">
        <is>
          <t>m3</t>
        </is>
      </c>
    </row>
    <row r="95">
      <c r="A95" s="25" t="inlineStr">
        <is>
          <t>Slug Volume for Desired Dry Pipe</t>
        </is>
      </c>
      <c r="B95" s="26" t="n"/>
      <c r="C95" s="26" t="n"/>
      <c r="D95" s="26" t="n"/>
      <c r="E95" s="26" t="n"/>
      <c r="F95" s="49" t="inlineStr">
        <is>
          <t>V_slug [bbl] = L_dry x MW / (SW - MW) x C_pipe</t>
        </is>
      </c>
    </row>
    <row r="96">
      <c r="A96" t="inlineStr"/>
      <c r="F96" s="27" t="inlineStr">
        <is>
          <t>Heavy slug pumped before tripping drops the fluid level inside the pipe so stands pull dry.</t>
        </is>
      </c>
    </row>
    <row r="97">
      <c r="A97" s="28" t="inlineStr">
        <is>
          <t>Desired dry pipe length</t>
        </is>
      </c>
      <c r="B97" s="31" t="n">
        <v>200</v>
      </c>
      <c r="C97" s="30" t="inlineStr">
        <is>
          <t>ft</t>
        </is>
      </c>
      <c r="D97" s="32">
        <f>IFERROR($B$97*0.3048,NA())</f>
        <v/>
      </c>
      <c r="E97" s="30" t="inlineStr">
        <is>
          <t>m</t>
        </is>
      </c>
    </row>
    <row r="98">
      <c r="A98" s="28" t="inlineStr">
        <is>
          <t>Mud weight (MW)</t>
        </is>
      </c>
      <c r="B98" s="35" t="n">
        <v>12.5</v>
      </c>
      <c r="C98" s="30" t="inlineStr">
        <is>
          <t>ppg</t>
        </is>
      </c>
      <c r="D98" s="36">
        <f>IFERROR($B$98*119.8264,NA())</f>
        <v/>
      </c>
      <c r="E98" s="30" t="inlineStr">
        <is>
          <t>kg/m3</t>
        </is>
      </c>
    </row>
    <row r="99">
      <c r="A99" s="28" t="inlineStr">
        <is>
          <t>Slug weight (SW)</t>
        </is>
      </c>
      <c r="B99" s="35" t="n">
        <v>14</v>
      </c>
      <c r="C99" s="30" t="inlineStr">
        <is>
          <t>ppg</t>
        </is>
      </c>
      <c r="D99" s="36">
        <f>IFERROR($B$99*119.8264,NA())</f>
        <v/>
      </c>
      <c r="E99" s="30" t="inlineStr">
        <is>
          <t>kg/m3</t>
        </is>
      </c>
    </row>
    <row r="100">
      <c r="A100" s="28" t="inlineStr">
        <is>
          <t>Pipe capacity</t>
        </is>
      </c>
      <c r="B100" s="62" t="n">
        <v>0.01776</v>
      </c>
      <c r="C100" s="30" t="inlineStr">
        <is>
          <t>bbl/ft</t>
        </is>
      </c>
      <c r="D100" s="53">
        <f>IFERROR($B$100*0.5216119,NA())</f>
        <v/>
      </c>
      <c r="E100" s="30" t="inlineStr">
        <is>
          <t>m3/m</t>
        </is>
      </c>
    </row>
    <row r="101">
      <c r="A101" s="28" t="inlineStr">
        <is>
          <t>Slug volume required</t>
        </is>
      </c>
      <c r="B101" s="54">
        <f>$B$97*$B$98/($B$99-$B$98)*$B$100</f>
        <v/>
      </c>
      <c r="C101" s="30" t="inlineStr">
        <is>
          <t>bbl</t>
        </is>
      </c>
      <c r="D101" s="40">
        <f>IFERROR($B$101*0.1589873,NA())</f>
        <v/>
      </c>
      <c r="E101" s="30" t="inlineStr">
        <is>
          <t>m3</t>
        </is>
      </c>
    </row>
    <row r="103">
      <c r="A103" s="25" t="inlineStr">
        <is>
          <t>Dry Pipe Length from Slug Pumped</t>
        </is>
      </c>
      <c r="B103" s="26" t="n"/>
      <c r="C103" s="26" t="n"/>
      <c r="D103" s="26" t="n"/>
      <c r="E103" s="26" t="n"/>
      <c r="F103" s="49" t="inlineStr">
        <is>
          <t>L_dry [ft] = V_slug / C_pipe x (SW - MW) / MW</t>
        </is>
      </c>
    </row>
    <row r="104">
      <c r="A104" s="28" t="inlineStr">
        <is>
          <t>Slug volume pumped</t>
        </is>
      </c>
      <c r="B104" s="37" t="n">
        <v>30</v>
      </c>
      <c r="C104" s="30" t="inlineStr">
        <is>
          <t>bbl</t>
        </is>
      </c>
      <c r="D104" s="40">
        <f>IFERROR($B$104*0.1589873,NA())</f>
        <v/>
      </c>
      <c r="E104" s="30" t="inlineStr">
        <is>
          <t>m3</t>
        </is>
      </c>
    </row>
    <row r="105">
      <c r="A105" s="28" t="inlineStr">
        <is>
          <t>Slug weight (SW)</t>
        </is>
      </c>
      <c r="B105" s="35" t="n">
        <v>14</v>
      </c>
      <c r="C105" s="30" t="inlineStr">
        <is>
          <t>ppg</t>
        </is>
      </c>
      <c r="D105" s="36">
        <f>IFERROR($B$105*119.8264,NA())</f>
        <v/>
      </c>
      <c r="E105" s="30" t="inlineStr">
        <is>
          <t>kg/m3</t>
        </is>
      </c>
    </row>
    <row r="106">
      <c r="A106" s="28" t="inlineStr">
        <is>
          <t>Mud weight (MW)</t>
        </is>
      </c>
      <c r="B106" s="35" t="n">
        <v>12.5</v>
      </c>
      <c r="C106" s="30" t="inlineStr">
        <is>
          <t>ppg</t>
        </is>
      </c>
      <c r="D106" s="36">
        <f>IFERROR($B$106*119.8264,NA())</f>
        <v/>
      </c>
      <c r="E106" s="30" t="inlineStr">
        <is>
          <t>kg/m3</t>
        </is>
      </c>
    </row>
    <row r="107">
      <c r="A107" s="28" t="inlineStr">
        <is>
          <t>Pipe capacity</t>
        </is>
      </c>
      <c r="B107" s="62" t="n">
        <v>0.01776</v>
      </c>
      <c r="C107" s="30" t="inlineStr">
        <is>
          <t>bbl/ft</t>
        </is>
      </c>
      <c r="D107" s="53">
        <f>IFERROR($B$107*0.5216119,NA())</f>
        <v/>
      </c>
      <c r="E107" s="30" t="inlineStr">
        <is>
          <t>m3/m</t>
        </is>
      </c>
    </row>
    <row r="108">
      <c r="A108" s="28" t="inlineStr">
        <is>
          <t>Expected dry pipe length</t>
        </is>
      </c>
      <c r="B108" s="59">
        <f>$B$104/$B$107*($B$105-$B$106)/$B$106</f>
        <v/>
      </c>
      <c r="C108" s="30" t="inlineStr">
        <is>
          <t>ft</t>
        </is>
      </c>
      <c r="D108" s="32">
        <f>IFERROR($B$108*0.3048,NA())</f>
        <v/>
      </c>
      <c r="E108" s="30" t="inlineStr">
        <is>
          <t>m</t>
        </is>
      </c>
    </row>
  </sheetData>
  <sheetProtection selectLockedCells="0" selectUnlockedCells="0" sheet="1" objects="0" insertRows="1" insertHyperlinks="1" autoFilter="1" scenarios="0" formatColumns="0" deleteColumns="1" insertColumns="1" pivotTables="1" deleteRows="1" formatCells="1" formatRows="0" sort="1"/>
  <mergeCells count="6">
    <mergeCell ref="A2:F2"/>
    <mergeCell ref="A54:F54"/>
    <mergeCell ref="A82:F82"/>
    <mergeCell ref="A1:F1"/>
    <mergeCell ref="A31:F31"/>
    <mergeCell ref="A6:F6"/>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H115"/>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Well Control Kill Sheet - Surface BOP (Vertical / Deviated / Horizontal)</t>
        </is>
      </c>
      <c r="B1" s="2" t="n"/>
      <c r="C1" s="2" t="n"/>
      <c r="D1" s="2" t="n"/>
      <c r="E1" s="2" t="n"/>
      <c r="F1" s="2" t="n"/>
    </row>
    <row r="2">
      <c r="A2" s="20" t="inlineStr">
        <is>
          <t>Component-level volumes, kill mud weight, ICP/FCP, survey-driven pressure schedule and auto-generated kill plot</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1. Pre-Recorded Data (light blue = linked to Well Data sheet)</t>
        </is>
      </c>
      <c r="B6" s="24" t="n"/>
      <c r="C6" s="24" t="n"/>
      <c r="D6" s="24" t="n"/>
      <c r="E6" s="24" t="n"/>
      <c r="F6" s="24" t="n"/>
    </row>
    <row r="8">
      <c r="A8" s="25" t="inlineStr">
        <is>
          <t>Well &amp; Pump Data</t>
        </is>
      </c>
      <c r="B8" s="26" t="n"/>
      <c r="C8" s="26" t="n"/>
      <c r="D8" s="26" t="n"/>
      <c r="E8" s="26" t="n"/>
      <c r="F8" s="26" t="n"/>
    </row>
    <row r="9">
      <c r="A9" t="inlineStr"/>
      <c r="F9" s="27" t="inlineStr">
        <is>
          <t>Linked to the Well Data sheet - update there, or overwrite locally. The schedule below also reads the Directional Survey sheet directly.</t>
        </is>
      </c>
    </row>
    <row r="10">
      <c r="A10" s="28" t="inlineStr">
        <is>
          <t>Current mud weight (OMW)</t>
        </is>
      </c>
      <c r="B10" s="63">
        <f>WD_OMW</f>
        <v/>
      </c>
      <c r="C10" s="30" t="inlineStr">
        <is>
          <t>ppg</t>
        </is>
      </c>
      <c r="D10" s="36">
        <f>IFERROR($B$10*119.8264,NA())</f>
        <v/>
      </c>
      <c r="E10" s="30" t="inlineStr">
        <is>
          <t>kg/m3</t>
        </is>
      </c>
      <c r="F10" s="27" t="inlineStr">
        <is>
          <t>Linked to Well Data sheet - overwrite locally if this well differs.</t>
        </is>
      </c>
    </row>
    <row r="11">
      <c r="A11" s="28" t="inlineStr">
        <is>
          <t>Bit / hole measured depth (MD)</t>
        </is>
      </c>
      <c r="B11" s="64">
        <f>WD_MD</f>
        <v/>
      </c>
      <c r="C11" s="30" t="inlineStr">
        <is>
          <t>ft</t>
        </is>
      </c>
      <c r="D11" s="32">
        <f>IFERROR($B$11*0.3048,NA())</f>
        <v/>
      </c>
      <c r="E11" s="30" t="inlineStr">
        <is>
          <t>m</t>
        </is>
      </c>
      <c r="F11" s="27" t="inlineStr">
        <is>
          <t>Linked to Well Data sheet - overwrite locally if this well differs.</t>
        </is>
      </c>
    </row>
    <row r="12">
      <c r="A12" s="28" t="inlineStr">
        <is>
          <t>Bit / hole true vertical depth (TVD)</t>
        </is>
      </c>
      <c r="B12" s="64">
        <f>WD_TVD</f>
        <v/>
      </c>
      <c r="C12" s="30" t="inlineStr">
        <is>
          <t>ft</t>
        </is>
      </c>
      <c r="D12" s="32">
        <f>IFERROR($B$12*0.3048,NA())</f>
        <v/>
      </c>
      <c r="E12" s="30" t="inlineStr">
        <is>
          <t>m</t>
        </is>
      </c>
      <c r="F12" s="27" t="inlineStr">
        <is>
          <t>Linked to Well Data sheet - overwrite locally if this well differs.</t>
        </is>
      </c>
    </row>
    <row r="13">
      <c r="A13" s="28" t="inlineStr">
        <is>
          <t>Casing shoe MD</t>
        </is>
      </c>
      <c r="B13" s="64">
        <f>WD_ShoeMD</f>
        <v/>
      </c>
      <c r="C13" s="30" t="inlineStr">
        <is>
          <t>ft</t>
        </is>
      </c>
      <c r="D13" s="32">
        <f>IFERROR($B$13*0.3048,NA())</f>
        <v/>
      </c>
      <c r="E13" s="30" t="inlineStr">
        <is>
          <t>m</t>
        </is>
      </c>
      <c r="F13" s="27" t="inlineStr">
        <is>
          <t>Linked to Well Data sheet - overwrite locally if this well differs.</t>
        </is>
      </c>
    </row>
    <row r="14">
      <c r="A14" s="28" t="inlineStr">
        <is>
          <t>Casing shoe TVD</t>
        </is>
      </c>
      <c r="B14" s="64">
        <f>WD_ShoeTVD</f>
        <v/>
      </c>
      <c r="C14" s="30" t="inlineStr">
        <is>
          <t>ft</t>
        </is>
      </c>
      <c r="D14" s="32">
        <f>IFERROR($B$14*0.3048,NA())</f>
        <v/>
      </c>
      <c r="E14" s="30" t="inlineStr">
        <is>
          <t>m</t>
        </is>
      </c>
      <c r="F14" s="27" t="inlineStr">
        <is>
          <t>Linked to Well Data sheet - overwrite locally if this well differs.</t>
        </is>
      </c>
    </row>
    <row r="15">
      <c r="A15" s="28" t="inlineStr">
        <is>
          <t>LOT / FIT equivalent mud weight</t>
        </is>
      </c>
      <c r="B15" s="63">
        <f>WD_LOT</f>
        <v/>
      </c>
      <c r="C15" s="30" t="inlineStr">
        <is>
          <t>ppg</t>
        </is>
      </c>
      <c r="D15" s="36">
        <f>IFERROR($B$15*119.8264,NA())</f>
        <v/>
      </c>
      <c r="E15" s="30" t="inlineStr">
        <is>
          <t>kg/m3</t>
        </is>
      </c>
      <c r="F15" s="27" t="inlineStr">
        <is>
          <t>Linked to Well Data sheet - overwrite locally if this well differs.</t>
        </is>
      </c>
    </row>
    <row r="16">
      <c r="A16" s="28" t="inlineStr">
        <is>
          <t>Slow circulating rate pressure (SCR)</t>
        </is>
      </c>
      <c r="B16" s="64">
        <f>WD_SCR</f>
        <v/>
      </c>
      <c r="C16" s="30" t="inlineStr">
        <is>
          <t>psi</t>
        </is>
      </c>
      <c r="D16" s="32">
        <f>IFERROR($B$16*6.894757,NA())</f>
        <v/>
      </c>
      <c r="E16" s="30" t="inlineStr">
        <is>
          <t>kPa</t>
        </is>
      </c>
      <c r="F16" s="27" t="inlineStr">
        <is>
          <t>Linked to Well Data sheet - overwrite locally if this well differs.</t>
        </is>
      </c>
    </row>
    <row r="17">
      <c r="A17" s="28" t="inlineStr">
        <is>
          <t>Pump output</t>
        </is>
      </c>
      <c r="B17" s="65">
        <f>WD_SPR</f>
        <v/>
      </c>
      <c r="C17" s="30" t="inlineStr">
        <is>
          <t>bbl/stk</t>
        </is>
      </c>
      <c r="D17" s="39">
        <f>IFERROR($B$17*158.9873,NA())</f>
        <v/>
      </c>
      <c r="E17" s="30" t="inlineStr">
        <is>
          <t>L/stk</t>
        </is>
      </c>
      <c r="F17" s="27" t="inlineStr">
        <is>
          <t>Linked to Well Data sheet - overwrite locally if this well differs.</t>
        </is>
      </c>
    </row>
    <row r="18">
      <c r="A18" s="28" t="inlineStr">
        <is>
          <t>Kill rate</t>
        </is>
      </c>
      <c r="B18" s="64">
        <f>WD_KillRate</f>
        <v/>
      </c>
      <c r="C18" s="30" t="inlineStr"/>
      <c r="F18" s="27" t="inlineStr">
        <is>
          <t>strokes per minute (spm); linked to Well Data.</t>
        </is>
      </c>
    </row>
    <row r="20">
      <c r="A20" s="25" t="inlineStr">
        <is>
          <t>Maximum Allowable Annular Surface Pressure (MAASP)</t>
        </is>
      </c>
      <c r="B20" s="26" t="n"/>
      <c r="C20" s="26" t="n"/>
      <c r="D20" s="26" t="n"/>
      <c r="E20" s="26" t="n"/>
      <c r="F20" s="49" t="inlineStr">
        <is>
          <t>MAASP = (LOT_EMW - MW) x 0.052 x Shoe TVD</t>
        </is>
      </c>
    </row>
    <row r="21">
      <c r="A21" t="inlineStr"/>
      <c r="F21" s="27" t="inlineStr">
        <is>
          <t>Valid only while the annulus above the shoe contains mud of density MW. Rounding rule: maximized values round UP to whole psi (1000.1 -&gt; 1001).</t>
        </is>
      </c>
    </row>
    <row r="22">
      <c r="A22" s="28" t="inlineStr">
        <is>
          <t>MAASP (initial, with current mud)</t>
        </is>
      </c>
      <c r="B22" s="59">
        <f>ROUNDUP(ROUND(($B$15-$B$10)*0.052*$B$14,6),0)</f>
        <v/>
      </c>
      <c r="C22" s="30" t="inlineStr">
        <is>
          <t>psi</t>
        </is>
      </c>
      <c r="D22" s="32">
        <f>IFERROR($B$22*6.894757,NA())</f>
        <v/>
      </c>
      <c r="E22" s="30" t="inlineStr">
        <is>
          <t>kPa</t>
        </is>
      </c>
    </row>
    <row r="24" ht="20" customHeight="1">
      <c r="A24" s="23" t="inlineStr">
        <is>
          <t>2. Drill String Volume (component by component, top down)</t>
        </is>
      </c>
      <c r="B24" s="24" t="n"/>
      <c r="C24" s="24" t="n"/>
      <c r="D24" s="24" t="n"/>
      <c r="E24" s="24" t="n"/>
      <c r="F24" s="24" t="n"/>
    </row>
    <row r="25">
      <c r="A25" s="9" t="inlineStr">
        <is>
          <t>Pick components from the dropdown (Tubular Library) - OD/ID auto-fill. For non-catalog pipe, type any name and overwrite OD/ID. Unused rows stay blank.</t>
        </is>
      </c>
    </row>
    <row r="26">
      <c r="A26" s="66" t="inlineStr">
        <is>
          <t>Component</t>
        </is>
      </c>
      <c r="B26" s="67" t="inlineStr">
        <is>
          <t>OD (in)</t>
        </is>
      </c>
      <c r="C26" s="67" t="inlineStr">
        <is>
          <t>ID (in)</t>
        </is>
      </c>
      <c r="D26" s="67" t="inlineStr">
        <is>
          <t>Length (ft)</t>
        </is>
      </c>
      <c r="E26" s="67" t="inlineStr">
        <is>
          <t>Capacity (bbl/ft)</t>
        </is>
      </c>
      <c r="F26" s="67" t="inlineStr">
        <is>
          <t>Volume (bbl)</t>
        </is>
      </c>
      <c r="G26" s="67" t="inlineStr">
        <is>
          <t>Top MD (ft)</t>
        </is>
      </c>
      <c r="H26" s="67" t="inlineStr">
        <is>
          <t>Cum vol at top (bbl)</t>
        </is>
      </c>
    </row>
    <row r="27">
      <c r="A27" s="68" t="inlineStr">
        <is>
          <t>DP 5 19.50#</t>
        </is>
      </c>
      <c r="B27" s="33">
        <f>IF($A27="","",IFERROR(VLOOKUP($A27,TL_Table,2,FALSE),""))</f>
        <v/>
      </c>
      <c r="C27" s="33">
        <f>IF($A27="","",IFERROR(VLOOKUP($A27,TL_Table,3,FALSE),""))</f>
        <v/>
      </c>
      <c r="D27" s="31" t="n">
        <v>9700</v>
      </c>
      <c r="E27" s="69">
        <f>IF($C27="",0,$C27^2/1029.4)</f>
        <v/>
      </c>
      <c r="F27" s="70">
        <f>$E27*IF($D27="",0,$D27)</f>
        <v/>
      </c>
      <c r="G27" s="71">
        <f>0</f>
        <v/>
      </c>
      <c r="H27" s="70">
        <f>0</f>
        <v/>
      </c>
    </row>
    <row r="28">
      <c r="A28" s="68" t="inlineStr">
        <is>
          <t>HWDP 5 49.3#</t>
        </is>
      </c>
      <c r="B28" s="33">
        <f>IF($A28="","",IFERROR(VLOOKUP($A28,TL_Table,2,FALSE),""))</f>
        <v/>
      </c>
      <c r="C28" s="33">
        <f>IF($A28="","",IFERROR(VLOOKUP($A28,TL_Table,3,FALSE),""))</f>
        <v/>
      </c>
      <c r="D28" s="31" t="n">
        <v>500</v>
      </c>
      <c r="E28" s="69">
        <f>IF($C28="",0,$C28^2/1029.4)</f>
        <v/>
      </c>
      <c r="F28" s="70">
        <f>$E28*IF($D28="",0,$D28)</f>
        <v/>
      </c>
      <c r="G28" s="71">
        <f>$G27+IF($D27="",0,$D27)</f>
        <v/>
      </c>
      <c r="H28" s="70">
        <f>$H27+$F27</f>
        <v/>
      </c>
    </row>
    <row r="29">
      <c r="A29" s="68" t="inlineStr">
        <is>
          <t>DC 6-1/2 92#</t>
        </is>
      </c>
      <c r="B29" s="33">
        <f>IF($A29="","",IFERROR(VLOOKUP($A29,TL_Table,2,FALSE),""))</f>
        <v/>
      </c>
      <c r="C29" s="33">
        <f>IF($A29="","",IFERROR(VLOOKUP($A29,TL_Table,3,FALSE),""))</f>
        <v/>
      </c>
      <c r="D29" s="31" t="n">
        <v>300</v>
      </c>
      <c r="E29" s="69">
        <f>IF($C29="",0,$C29^2/1029.4)</f>
        <v/>
      </c>
      <c r="F29" s="70">
        <f>$E29*IF($D29="",0,$D29)</f>
        <v/>
      </c>
      <c r="G29" s="71">
        <f>$G28+IF($D28="",0,$D28)</f>
        <v/>
      </c>
      <c r="H29" s="70">
        <f>$H28+$F28</f>
        <v/>
      </c>
    </row>
    <row r="30">
      <c r="A30" s="68" t="inlineStr"/>
      <c r="B30" s="33">
        <f>IF($A30="","",IFERROR(VLOOKUP($A30,TL_Table,2,FALSE),""))</f>
        <v/>
      </c>
      <c r="C30" s="33">
        <f>IF($A30="","",IFERROR(VLOOKUP($A30,TL_Table,3,FALSE),""))</f>
        <v/>
      </c>
      <c r="D30" s="31" t="n"/>
      <c r="E30" s="69">
        <f>IF($C30="",0,$C30^2/1029.4)</f>
        <v/>
      </c>
      <c r="F30" s="70">
        <f>$E30*IF($D30="",0,$D30)</f>
        <v/>
      </c>
      <c r="G30" s="71">
        <f>$G29+IF($D29="",0,$D29)</f>
        <v/>
      </c>
      <c r="H30" s="70">
        <f>$H29+$F29</f>
        <v/>
      </c>
    </row>
    <row r="31">
      <c r="A31" s="68" t="inlineStr"/>
      <c r="B31" s="33">
        <f>IF($A31="","",IFERROR(VLOOKUP($A31,TL_Table,2,FALSE),""))</f>
        <v/>
      </c>
      <c r="C31" s="33">
        <f>IF($A31="","",IFERROR(VLOOKUP($A31,TL_Table,3,FALSE),""))</f>
        <v/>
      </c>
      <c r="D31" s="31" t="n"/>
      <c r="E31" s="69">
        <f>IF($C31="",0,$C31^2/1029.4)</f>
        <v/>
      </c>
      <c r="F31" s="70">
        <f>$E31*IF($D31="",0,$D31)</f>
        <v/>
      </c>
      <c r="G31" s="71">
        <f>$G30+IF($D30="",0,$D30)</f>
        <v/>
      </c>
      <c r="H31" s="70">
        <f>$H30+$F30</f>
        <v/>
      </c>
    </row>
    <row r="32">
      <c r="A32" s="68" t="inlineStr"/>
      <c r="B32" s="33">
        <f>IF($A32="","",IFERROR(VLOOKUP($A32,TL_Table,2,FALSE),""))</f>
        <v/>
      </c>
      <c r="C32" s="33">
        <f>IF($A32="","",IFERROR(VLOOKUP($A32,TL_Table,3,FALSE),""))</f>
        <v/>
      </c>
      <c r="D32" s="31" t="n"/>
      <c r="E32" s="69">
        <f>IF($C32="",0,$C32^2/1029.4)</f>
        <v/>
      </c>
      <c r="F32" s="70">
        <f>$E32*IF($D32="",0,$D32)</f>
        <v/>
      </c>
      <c r="G32" s="71">
        <f>$G31+IF($D31="",0,$D31)</f>
        <v/>
      </c>
      <c r="H32" s="70">
        <f>$H31+$F31</f>
        <v/>
      </c>
    </row>
    <row r="33">
      <c r="A33" s="68" t="inlineStr"/>
      <c r="B33" s="33">
        <f>IF($A33="","",IFERROR(VLOOKUP($A33,TL_Table,2,FALSE),""))</f>
        <v/>
      </c>
      <c r="C33" s="33">
        <f>IF($A33="","",IFERROR(VLOOKUP($A33,TL_Table,3,FALSE),""))</f>
        <v/>
      </c>
      <c r="D33" s="31" t="n"/>
      <c r="E33" s="69">
        <f>IF($C33="",0,$C33^2/1029.4)</f>
        <v/>
      </c>
      <c r="F33" s="70">
        <f>$E33*IF($D33="",0,$D33)</f>
        <v/>
      </c>
      <c r="G33" s="71">
        <f>$G32+IF($D32="",0,$D32)</f>
        <v/>
      </c>
      <c r="H33" s="70">
        <f>$H32+$F32</f>
        <v/>
      </c>
    </row>
    <row r="34">
      <c r="A34" s="68" t="inlineStr"/>
      <c r="B34" s="33">
        <f>IF($A34="","",IFERROR(VLOOKUP($A34,TL_Table,2,FALSE),""))</f>
        <v/>
      </c>
      <c r="C34" s="33">
        <f>IF($A34="","",IFERROR(VLOOKUP($A34,TL_Table,3,FALSE),""))</f>
        <v/>
      </c>
      <c r="D34" s="31" t="n"/>
      <c r="E34" s="69">
        <f>IF($C34="",0,$C34^2/1029.4)</f>
        <v/>
      </c>
      <c r="F34" s="70">
        <f>$E34*IF($D34="",0,$D34)</f>
        <v/>
      </c>
      <c r="G34" s="71">
        <f>$G33+IF($D33="",0,$D33)</f>
        <v/>
      </c>
      <c r="H34" s="70">
        <f>$H33+$F33</f>
        <v/>
      </c>
    </row>
    <row r="36">
      <c r="A36" s="25" t="inlineStr">
        <is>
          <t>Drill String Totals</t>
        </is>
      </c>
      <c r="B36" s="26" t="n"/>
      <c r="C36" s="26" t="n"/>
      <c r="D36" s="26" t="n"/>
      <c r="E36" s="26" t="n"/>
      <c r="F36" s="49" t="inlineStr">
        <is>
          <t>Capacity = ID^2/1029.4 [bbl/ft];  Strokes = Volume / Pump output</t>
        </is>
      </c>
    </row>
    <row r="37">
      <c r="A37" s="28" t="inlineStr">
        <is>
          <t>Total string length</t>
        </is>
      </c>
      <c r="B37" s="59">
        <f>SUM($D$27:$D$34)</f>
        <v/>
      </c>
      <c r="C37" s="30" t="inlineStr">
        <is>
          <t>ft</t>
        </is>
      </c>
      <c r="D37" s="32">
        <f>IFERROR($B$37*0.3048,NA())</f>
        <v/>
      </c>
      <c r="E37" s="30" t="inlineStr">
        <is>
          <t>m</t>
        </is>
      </c>
    </row>
    <row r="38">
      <c r="A38" s="28" t="inlineStr">
        <is>
          <t>Length check vs bit MD</t>
        </is>
      </c>
      <c r="B38" s="72">
        <f>IF($B$37=$B$11,"OK - matches bit MD","CHECK: components &lt;&gt; bit MD")</f>
        <v/>
      </c>
      <c r="C38" s="30" t="inlineStr"/>
    </row>
    <row r="39">
      <c r="A39" s="28" t="inlineStr">
        <is>
          <t>Drill string volume</t>
        </is>
      </c>
      <c r="B39" s="54">
        <f>SUM($F$27:$F$34)</f>
        <v/>
      </c>
      <c r="C39" s="30" t="inlineStr">
        <is>
          <t>bbl</t>
        </is>
      </c>
      <c r="D39" s="40">
        <f>IFERROR($B$39*0.1589873,NA())</f>
        <v/>
      </c>
      <c r="E39" s="30" t="inlineStr">
        <is>
          <t>m3</t>
        </is>
      </c>
    </row>
    <row r="40">
      <c r="A40" s="28" t="inlineStr">
        <is>
          <t>Strokes surface to bit</t>
        </is>
      </c>
      <c r="B40" s="59">
        <f>ROUNDUP(ROUND($B$39/$B$17,6),0)</f>
        <v/>
      </c>
      <c r="C40" s="30" t="inlineStr"/>
    </row>
    <row r="41">
      <c r="A41" s="28" t="inlineStr">
        <is>
          <t>Time surface to bit</t>
        </is>
      </c>
      <c r="B41" s="54">
        <f>$B$40/$B$18</f>
        <v/>
      </c>
      <c r="C41" s="30" t="inlineStr"/>
      <c r="F41" s="27" t="inlineStr">
        <is>
          <t>minutes at kill rate</t>
        </is>
      </c>
    </row>
    <row r="43" ht="20" customHeight="1">
      <c r="A43" s="23" t="inlineStr">
        <is>
          <t>3. Annulus Volume (bottom up)</t>
        </is>
      </c>
      <c r="B43" s="24" t="n"/>
      <c r="C43" s="24" t="n"/>
      <c r="D43" s="24" t="n"/>
      <c r="E43" s="24" t="n"/>
      <c r="F43" s="24" t="n"/>
    </row>
    <row r="44">
      <c r="A44" s="66" t="inlineStr">
        <is>
          <t>Section</t>
        </is>
      </c>
      <c r="B44" s="67" t="inlineStr">
        <is>
          <t>Hole/Csg ID (in)</t>
        </is>
      </c>
      <c r="C44" s="67" t="inlineStr">
        <is>
          <t>Pipe OD (in)</t>
        </is>
      </c>
      <c r="D44" s="67" t="inlineStr">
        <is>
          <t>Length (ft)</t>
        </is>
      </c>
      <c r="E44" s="67" t="inlineStr">
        <is>
          <t>Capacity (bbl/ft)</t>
        </is>
      </c>
      <c r="F44" s="67" t="inlineStr">
        <is>
          <t>Volume (bbl)</t>
        </is>
      </c>
    </row>
    <row r="45">
      <c r="A45" s="68" t="inlineStr">
        <is>
          <t>DC x open hole</t>
        </is>
      </c>
      <c r="B45" s="33" t="n">
        <v>8.5</v>
      </c>
      <c r="C45" s="33" t="n">
        <v>6.5</v>
      </c>
      <c r="D45" s="31" t="n">
        <v>300</v>
      </c>
      <c r="E45" s="69">
        <f>IF(OR($B45="",$C45=""),0,($B45^2-$C45^2)/1029.4)</f>
        <v/>
      </c>
      <c r="F45" s="70">
        <f>$E45*IF($D45="",0,$D45)</f>
        <v/>
      </c>
    </row>
    <row r="46">
      <c r="A46" s="68" t="inlineStr">
        <is>
          <t>DP x open hole</t>
        </is>
      </c>
      <c r="B46" s="33" t="n">
        <v>8.5</v>
      </c>
      <c r="C46" s="33" t="n">
        <v>5</v>
      </c>
      <c r="D46" s="31" t="n">
        <v>4300</v>
      </c>
      <c r="E46" s="69">
        <f>IF(OR($B46="",$C46=""),0,($B46^2-$C46^2)/1029.4)</f>
        <v/>
      </c>
      <c r="F46" s="70">
        <f>$E46*IF($D46="",0,$D46)</f>
        <v/>
      </c>
    </row>
    <row r="47">
      <c r="A47" s="68" t="inlineStr">
        <is>
          <t>DP x casing</t>
        </is>
      </c>
      <c r="B47" s="33" t="n">
        <v>8.680999999999999</v>
      </c>
      <c r="C47" s="33" t="n">
        <v>5</v>
      </c>
      <c r="D47" s="31" t="n">
        <v>5900</v>
      </c>
      <c r="E47" s="69">
        <f>IF(OR($B47="",$C47=""),0,($B47^2-$C47^2)/1029.4)</f>
        <v/>
      </c>
      <c r="F47" s="70">
        <f>$E47*IF($D47="",0,$D47)</f>
        <v/>
      </c>
    </row>
    <row r="48">
      <c r="A48" s="68" t="inlineStr"/>
      <c r="B48" s="33" t="n"/>
      <c r="C48" s="33" t="n"/>
      <c r="D48" s="31" t="n"/>
      <c r="E48" s="69">
        <f>IF(OR($B48="",$C48=""),0,($B48^2-$C48^2)/1029.4)</f>
        <v/>
      </c>
      <c r="F48" s="70">
        <f>$E48*IF($D48="",0,$D48)</f>
        <v/>
      </c>
    </row>
    <row r="49">
      <c r="A49" s="68" t="inlineStr"/>
      <c r="B49" s="33" t="n"/>
      <c r="C49" s="33" t="n"/>
      <c r="D49" s="31" t="n"/>
      <c r="E49" s="69">
        <f>IF(OR($B49="",$C49=""),0,($B49^2-$C49^2)/1029.4)</f>
        <v/>
      </c>
      <c r="F49" s="70">
        <f>$E49*IF($D49="",0,$D49)</f>
        <v/>
      </c>
    </row>
    <row r="50">
      <c r="A50" s="68" t="inlineStr"/>
      <c r="B50" s="33" t="n"/>
      <c r="C50" s="33" t="n"/>
      <c r="D50" s="31" t="n"/>
      <c r="E50" s="69">
        <f>IF(OR($B50="",$C50=""),0,($B50^2-$C50^2)/1029.4)</f>
        <v/>
      </c>
      <c r="F50" s="70">
        <f>$E50*IF($D50="",0,$D50)</f>
        <v/>
      </c>
    </row>
    <row r="52">
      <c r="A52" s="25" t="inlineStr">
        <is>
          <t>Annulus Totals</t>
        </is>
      </c>
      <c r="B52" s="26" t="n"/>
      <c r="C52" s="26" t="n"/>
      <c r="D52" s="26" t="n"/>
      <c r="E52" s="26" t="n"/>
      <c r="F52" s="49" t="inlineStr">
        <is>
          <t>Annular capacity = (Dh^2 - Dp^2)/1029.4 [bbl/ft]</t>
        </is>
      </c>
    </row>
    <row r="53">
      <c r="A53" s="28" t="inlineStr">
        <is>
          <t>Annulus volume</t>
        </is>
      </c>
      <c r="B53" s="54">
        <f>SUM($F$45:$F$50)</f>
        <v/>
      </c>
      <c r="C53" s="30" t="inlineStr">
        <is>
          <t>bbl</t>
        </is>
      </c>
      <c r="D53" s="40">
        <f>IFERROR($B$53*0.1589873,NA())</f>
        <v/>
      </c>
      <c r="E53" s="30" t="inlineStr">
        <is>
          <t>m3</t>
        </is>
      </c>
    </row>
    <row r="54">
      <c r="A54" s="28" t="inlineStr">
        <is>
          <t>Strokes bit to surface</t>
        </is>
      </c>
      <c r="B54" s="59">
        <f>ROUNDUP(ROUND($B$53/$B$17,6),0)</f>
        <v/>
      </c>
      <c r="C54" s="30" t="inlineStr"/>
    </row>
    <row r="55">
      <c r="A55" s="28" t="inlineStr">
        <is>
          <t>Total circulation strokes</t>
        </is>
      </c>
      <c r="B55" s="59">
        <f>$B$40+$B$54</f>
        <v/>
      </c>
      <c r="C55" s="30" t="inlineStr"/>
    </row>
    <row r="56">
      <c r="A56" s="28" t="inlineStr">
        <is>
          <t>Total circulation time</t>
        </is>
      </c>
      <c r="B56" s="54">
        <f>$B$55/$B$18</f>
        <v/>
      </c>
      <c r="C56" s="30" t="inlineStr"/>
      <c r="F56" s="27" t="inlineStr">
        <is>
          <t>minutes at kill rate</t>
        </is>
      </c>
    </row>
    <row r="58" ht="20" customHeight="1">
      <c r="A58" s="23" t="inlineStr">
        <is>
          <t>4. Kick Data (Shut-In)</t>
        </is>
      </c>
      <c r="B58" s="24" t="n"/>
      <c r="C58" s="24" t="n"/>
      <c r="D58" s="24" t="n"/>
      <c r="E58" s="24" t="n"/>
      <c r="F58" s="24" t="n"/>
    </row>
    <row r="60">
      <c r="A60" s="25" t="inlineStr">
        <is>
          <t>Recorded on Shut-In</t>
        </is>
      </c>
      <c r="B60" s="26" t="n"/>
      <c r="C60" s="26" t="n"/>
      <c r="D60" s="26" t="n"/>
      <c r="E60" s="26" t="n"/>
      <c r="F60" s="26" t="n"/>
    </row>
    <row r="61">
      <c r="A61" t="inlineStr"/>
      <c r="F61" s="27" t="inlineStr">
        <is>
          <t>Allow pressures to stabilise; watch for gas migration on SIDPP. On horizontal wells an influx lying in the lateral may show little or no SICP-SIDPP difference until it enters the build.</t>
        </is>
      </c>
    </row>
    <row r="62">
      <c r="A62" s="28" t="inlineStr">
        <is>
          <t>Shut-in drill pipe pressure (SIDPP)</t>
        </is>
      </c>
      <c r="B62" s="31" t="n">
        <v>500</v>
      </c>
      <c r="C62" s="30" t="inlineStr">
        <is>
          <t>psi</t>
        </is>
      </c>
      <c r="D62" s="32">
        <f>IFERROR($B$62*6.894757,NA())</f>
        <v/>
      </c>
      <c r="E62" s="30" t="inlineStr">
        <is>
          <t>kPa</t>
        </is>
      </c>
    </row>
    <row r="63">
      <c r="A63" s="28" t="inlineStr">
        <is>
          <t>Shut-in casing pressure (SICP)</t>
        </is>
      </c>
      <c r="B63" s="31" t="n">
        <v>700</v>
      </c>
      <c r="C63" s="30" t="inlineStr">
        <is>
          <t>psi</t>
        </is>
      </c>
      <c r="D63" s="32">
        <f>IFERROR($B$63*6.894757,NA())</f>
        <v/>
      </c>
      <c r="E63" s="30" t="inlineStr">
        <is>
          <t>kPa</t>
        </is>
      </c>
    </row>
    <row r="64">
      <c r="A64" s="28" t="inlineStr">
        <is>
          <t>Pit gain</t>
        </is>
      </c>
      <c r="B64" s="37" t="n">
        <v>15</v>
      </c>
      <c r="C64" s="30" t="inlineStr">
        <is>
          <t>bbl</t>
        </is>
      </c>
      <c r="D64" s="40">
        <f>IFERROR($B$64*0.1589873,NA())</f>
        <v/>
      </c>
      <c r="E64" s="30" t="inlineStr">
        <is>
          <t>m3</t>
        </is>
      </c>
    </row>
    <row r="66" ht="20" customHeight="1">
      <c r="A66" s="23" t="inlineStr">
        <is>
          <t>5. Kill Calculations</t>
        </is>
      </c>
      <c r="B66" s="24" t="n"/>
      <c r="C66" s="24" t="n"/>
      <c r="D66" s="24" t="n"/>
      <c r="E66" s="24" t="n"/>
      <c r="F66" s="24" t="n"/>
    </row>
    <row r="68">
      <c r="A68" s="25" t="inlineStr">
        <is>
          <t>Kill Mud Weight (KMW)</t>
        </is>
      </c>
      <c r="B68" s="26" t="n"/>
      <c r="C68" s="26" t="n"/>
      <c r="D68" s="26" t="n"/>
      <c r="E68" s="26" t="n"/>
      <c r="F68" s="49" t="inlineStr">
        <is>
          <t>KMW = OMW + SIDPP / (0.052 x TVD)</t>
        </is>
      </c>
    </row>
    <row r="69">
      <c r="A69" t="inlineStr"/>
      <c r="F69" s="27" t="inlineStr">
        <is>
          <t>TVD, never MD. Round UP to the nearest 0.1 ppg for practical mixing.</t>
        </is>
      </c>
    </row>
    <row r="70">
      <c r="A70" s="28" t="inlineStr">
        <is>
          <t>Kill mud weight (exact)</t>
        </is>
      </c>
      <c r="B70" s="50">
        <f>$B$10+$B$62/(0.052*$B$12)</f>
        <v/>
      </c>
      <c r="C70" s="30" t="inlineStr">
        <is>
          <t>ppg</t>
        </is>
      </c>
      <c r="D70" s="34">
        <f>IFERROR($B$70*119.8264,NA())</f>
        <v/>
      </c>
      <c r="E70" s="30" t="inlineStr">
        <is>
          <t>kg/m3</t>
        </is>
      </c>
    </row>
    <row r="71">
      <c r="A71" s="28" t="inlineStr">
        <is>
          <t>Kill mud weight (rounded up)</t>
        </is>
      </c>
      <c r="B71" s="54">
        <f>ROUNDUP(ROUND($B$70*10,6),0)/10</f>
        <v/>
      </c>
      <c r="C71" s="30" t="inlineStr">
        <is>
          <t>ppg</t>
        </is>
      </c>
      <c r="D71" s="40">
        <f>IFERROR($B$71*119.8264,NA())</f>
        <v/>
      </c>
      <c r="E71" s="30" t="inlineStr">
        <is>
          <t>kg/m3</t>
        </is>
      </c>
    </row>
    <row r="73">
      <c r="A73" s="25" t="inlineStr">
        <is>
          <t>Initial &amp; Final Circulating Pressure</t>
        </is>
      </c>
      <c r="B73" s="26" t="n"/>
      <c r="C73" s="26" t="n"/>
      <c r="D73" s="26" t="n"/>
      <c r="E73" s="26" t="n"/>
      <c r="F73" s="49" t="inlineStr">
        <is>
          <t>ICP = SCR + SIDPP;   FCP = SCR x KMW / OMW</t>
        </is>
      </c>
    </row>
    <row r="74">
      <c r="A74" s="28" t="inlineStr">
        <is>
          <t>Initial circulating pressure (ICP)</t>
        </is>
      </c>
      <c r="B74" s="59">
        <f>$B$16+$B$62</f>
        <v/>
      </c>
      <c r="C74" s="30" t="inlineStr">
        <is>
          <t>psi</t>
        </is>
      </c>
      <c r="D74" s="32">
        <f>IFERROR($B$74*6.894757,NA())</f>
        <v/>
      </c>
      <c r="E74" s="30" t="inlineStr">
        <is>
          <t>kPa</t>
        </is>
      </c>
    </row>
    <row r="75">
      <c r="A75" s="28" t="inlineStr">
        <is>
          <t>Final circulating pressure (FCP)</t>
        </is>
      </c>
      <c r="B75" s="59">
        <f>$B$16*$B$71/$B$10</f>
        <v/>
      </c>
      <c r="C75" s="30" t="inlineStr">
        <is>
          <t>psi</t>
        </is>
      </c>
      <c r="D75" s="32">
        <f>IFERROR($B$75*6.894757,NA())</f>
        <v/>
      </c>
      <c r="E75" s="30" t="inlineStr">
        <is>
          <t>kPa</t>
        </is>
      </c>
    </row>
    <row r="76">
      <c r="A76" s="28" t="inlineStr">
        <is>
          <t>Pressure drop per 100 strokes (vertical well)</t>
        </is>
      </c>
      <c r="B76" s="59">
        <f>ROUNDDOWN(ROUND(($B$74-$B$75)/$B$40*100,6),0)</f>
        <v/>
      </c>
      <c r="C76" s="30" t="inlineStr">
        <is>
          <t>psi</t>
        </is>
      </c>
      <c r="D76" s="32">
        <f>IFERROR($B$76*6.894757,NA())</f>
        <v/>
      </c>
      <c r="E76" s="30" t="inlineStr">
        <is>
          <t>kPa</t>
        </is>
      </c>
      <c r="F76" s="27" t="inlineStr">
        <is>
          <t>Rounding rule: psi/step always rounds DOWN (161.9 -&gt; 161). Linear ICP-&gt;FCP ramp is only valid for near-vertical wells - use the survey-driven schedule below for deviated/horizontal wells.</t>
        </is>
      </c>
    </row>
    <row r="78">
      <c r="A78" s="25" t="inlineStr">
        <is>
          <t>Bottomhole Pressure (constant during kill)</t>
        </is>
      </c>
      <c r="B78" s="26" t="n"/>
      <c r="C78" s="26" t="n"/>
      <c r="D78" s="26" t="n"/>
      <c r="E78" s="26" t="n"/>
      <c r="F78" s="49" t="inlineStr">
        <is>
          <t>BHP = SIDPP + 0.052 x OMW x TVD</t>
        </is>
      </c>
    </row>
    <row r="79">
      <c r="A79" s="28" t="inlineStr">
        <is>
          <t>Formation pressure</t>
        </is>
      </c>
      <c r="B79" s="59">
        <f>$B$62+0.052*$B$10*$B$12</f>
        <v/>
      </c>
      <c r="C79" s="30" t="inlineStr">
        <is>
          <t>psi</t>
        </is>
      </c>
      <c r="D79" s="32">
        <f>IFERROR($B$79*6.894757,NA())</f>
        <v/>
      </c>
      <c r="E79" s="30" t="inlineStr">
        <is>
          <t>kPa</t>
        </is>
      </c>
    </row>
    <row r="80">
      <c r="A80" s="28" t="inlineStr">
        <is>
          <t>Formation pressure EMW</t>
        </is>
      </c>
      <c r="B80" s="51">
        <f>($B$62+0.052*$B$10*$B$12)/(0.052*$B$12)</f>
        <v/>
      </c>
      <c r="C80" s="30" t="inlineStr">
        <is>
          <t>ppg</t>
        </is>
      </c>
      <c r="D80" s="42">
        <f>IFERROR($B$80*119.8264,NA())</f>
        <v/>
      </c>
      <c r="E80" s="30" t="inlineStr">
        <is>
          <t>kg/m3</t>
        </is>
      </c>
    </row>
    <row r="82">
      <c r="A82" s="25" t="inlineStr">
        <is>
          <t>Influx Characterisation</t>
        </is>
      </c>
      <c r="B82" s="26" t="n"/>
      <c r="C82" s="26" t="n"/>
      <c r="D82" s="26" t="n"/>
      <c r="E82" s="26" t="n"/>
      <c r="F82" s="49" t="inlineStr">
        <is>
          <t>h_influx = Pit gain / Ann. capacity (at BHA);   Grad_influx = 0.052 x OMW - (SICP - SIDPP) / h_influx</t>
        </is>
      </c>
    </row>
    <row r="83">
      <c r="A83" t="inlineStr"/>
      <c r="F83" s="27" t="inlineStr">
        <is>
          <t>Gas ~0.05-0.25 psi/ft, oil ~0.3-0.4, salt water ~0.4-0.5. Assumes influx around the BHA and a VERTICAL influx column - unreliable in a lateral, where the influx adds little vertical height.</t>
        </is>
      </c>
    </row>
    <row r="84">
      <c r="A84" s="28" t="inlineStr">
        <is>
          <t>Influx height (along hole)</t>
        </is>
      </c>
      <c r="B84" s="59">
        <f>$B$64/$E$45</f>
        <v/>
      </c>
      <c r="C84" s="30" t="inlineStr">
        <is>
          <t>ft</t>
        </is>
      </c>
      <c r="D84" s="32">
        <f>IFERROR($B$84*0.3048,NA())</f>
        <v/>
      </c>
      <c r="E84" s="30" t="inlineStr">
        <is>
          <t>m</t>
        </is>
      </c>
    </row>
    <row r="85">
      <c r="A85" s="28" t="inlineStr">
        <is>
          <t>Influx gradient</t>
        </is>
      </c>
      <c r="B85" s="50">
        <f>0.052*$B$10-($B$63-$B$62)/$B$84</f>
        <v/>
      </c>
      <c r="C85" s="30" t="inlineStr">
        <is>
          <t>psi/ft</t>
        </is>
      </c>
      <c r="D85" s="34">
        <f>IFERROR($B$85*22.62059,NA())</f>
        <v/>
      </c>
      <c r="E85" s="30" t="inlineStr">
        <is>
          <t>kPa/m</t>
        </is>
      </c>
    </row>
    <row r="86">
      <c r="A86" s="28" t="inlineStr">
        <is>
          <t>Likely influx type</t>
        </is>
      </c>
      <c r="B86" s="72">
        <f>IF($B$85&lt;0.25,"GAS",IF($B$85&lt;0.4,"OIL / GAS-CUT","WATER"))</f>
        <v/>
      </c>
      <c r="C86" s="30" t="inlineStr"/>
    </row>
    <row r="88">
      <c r="A88" s="25" t="inlineStr">
        <is>
          <t>MAASP After Kill</t>
        </is>
      </c>
      <c r="B88" s="26" t="n"/>
      <c r="C88" s="26" t="n"/>
      <c r="D88" s="26" t="n"/>
      <c r="E88" s="26" t="n"/>
      <c r="F88" s="49" t="inlineStr">
        <is>
          <t>MAASP_kill = (LOT_EMW - KMW) x 0.052 x Shoe TVD</t>
        </is>
      </c>
    </row>
    <row r="89">
      <c r="A89" t="inlineStr"/>
      <c r="F89" s="27" t="inlineStr">
        <is>
          <t>Rounding rule: maximized values round UP to whole psi.</t>
        </is>
      </c>
    </row>
    <row r="90">
      <c r="A90" s="28" t="inlineStr">
        <is>
          <t>MAASP with kill mud</t>
        </is>
      </c>
      <c r="B90" s="59">
        <f>ROUNDUP(ROUND(($B$15-$B$71)*0.052*$B$14,6),0)</f>
        <v/>
      </c>
      <c r="C90" s="30" t="inlineStr">
        <is>
          <t>psi</t>
        </is>
      </c>
      <c r="D90" s="32">
        <f>IFERROR($B$90*6.894757,NA())</f>
        <v/>
      </c>
      <c r="E90" s="30" t="inlineStr">
        <is>
          <t>kPa</t>
        </is>
      </c>
    </row>
    <row r="92" ht="20" customHeight="1">
      <c r="A92" s="23" t="inlineStr">
        <is>
          <t>6. Kill Schedule - Survey-Driven (valid for any trajectory)</t>
        </is>
      </c>
      <c r="B92" s="24" t="n"/>
      <c r="C92" s="24" t="n"/>
      <c r="D92" s="24" t="n"/>
      <c r="E92" s="24" t="n"/>
      <c r="F92" s="24" t="n"/>
    </row>
    <row r="93" ht="40" customHeight="1">
      <c r="A93" s="27" t="inlineStr">
        <is>
          <t>Front MD: pumped volume located in the string tables above. Front TVD: interpolated from the Directional Survey sheet. P = SIDPP - 0.052 x (KMW-OMW) x TVD(front) + SCR + (FCP-SCR) x s. With KMW rounded up, the final pressure ends slightly below FCP (slight overbalance - normal). The 'vertical well' column steps down by the ROUNDDOWN psi/100stk figure (never below FCP), the way the schedule is written on a manual kill sheet.</t>
        </is>
      </c>
    </row>
    <row r="94">
      <c r="A94" s="66" t="inlineStr">
        <is>
          <t>% strokes to bit</t>
        </is>
      </c>
      <c r="B94" s="67" t="inlineStr">
        <is>
          <t>Strokes</t>
        </is>
      </c>
      <c r="C94" s="67" t="inlineStr">
        <is>
          <t>Front MD (ft)</t>
        </is>
      </c>
      <c r="D94" s="67" t="inlineStr">
        <is>
          <t>Front TVD (ft)</t>
        </is>
      </c>
      <c r="E94" s="67" t="inlineStr">
        <is>
          <t>DP pressure (psi)</t>
        </is>
      </c>
      <c r="F94" s="67" t="inlineStr">
        <is>
          <t>Vertical-well ramp (psi)</t>
        </is>
      </c>
    </row>
    <row r="95">
      <c r="A95" s="73" t="n">
        <v>0</v>
      </c>
      <c r="B95" s="71">
        <f>ROUND($B$40*0.0,0)</f>
        <v/>
      </c>
      <c r="C95" s="71">
        <f>INDEX($G$27:$G$34,MATCH((0.0*$B$39),$H$27:$H$34,1))+IF(INDEX($E$27:$E$34,MATCH((0.0*$B$39),$H$27:$H$34,1))=0,0,((0.0*$B$39)-INDEX($H$27:$H$34,MATCH((0.0*$B$39),$H$27:$H$34,1)))/INDEX($E$27:$E$34,MATCH((0.0*$B$39),$H$27:$H$34,1)))</f>
        <v/>
      </c>
      <c r="D95" s="71">
        <f>INDEX('Directional Survey'!$J$7:$J$106,MATCH($C95,'Directional Survey'!$I$7:$I$106,1))+($C95-INDEX('Directional Survey'!$I$7:$I$106,MATCH($C95,'Directional Survey'!$I$7:$I$106,1)))*(IFERROR(INDEX('Directional Survey'!$J$7:$J$106,MATCH($C95,'Directional Survey'!$I$7:$I$106,1)+1),INDEX('Directional Survey'!$J$7:$J$106,MATCH($C95,'Directional Survey'!$I$7:$I$106,1)))-INDEX('Directional Survey'!$J$7:$J$106,MATCH($C95,'Directional Survey'!$I$7:$I$106,1)))/(IFERROR(INDEX('Directional Survey'!$I$7:$I$106,MATCH($C95,'Directional Survey'!$I$7:$I$106,1)+1),9.9E+99)-INDEX('Directional Survey'!$I$7:$I$106,MATCH($C95,'Directional Survey'!$I$7:$I$106,1)))</f>
        <v/>
      </c>
      <c r="E95" s="59">
        <f>ROUND($B$62-0.052*($B$71-$B$10)*$D95+$B$16+($B$75-$B$16)*0.0,0)</f>
        <v/>
      </c>
      <c r="F95" s="71">
        <f>MAX($B$75,$B$74-$B$76*$B95/100)</f>
        <v/>
      </c>
    </row>
    <row r="96">
      <c r="A96" s="73" t="n">
        <v>0.05</v>
      </c>
      <c r="B96" s="71">
        <f>ROUND($B$40*0.05,0)</f>
        <v/>
      </c>
      <c r="C96" s="71">
        <f>INDEX($G$27:$G$34,MATCH((0.05*$B$39),$H$27:$H$34,1))+IF(INDEX($E$27:$E$34,MATCH((0.05*$B$39),$H$27:$H$34,1))=0,0,((0.05*$B$39)-INDEX($H$27:$H$34,MATCH((0.05*$B$39),$H$27:$H$34,1)))/INDEX($E$27:$E$34,MATCH((0.05*$B$39),$H$27:$H$34,1)))</f>
        <v/>
      </c>
      <c r="D96" s="71">
        <f>INDEX('Directional Survey'!$J$7:$J$106,MATCH($C96,'Directional Survey'!$I$7:$I$106,1))+($C96-INDEX('Directional Survey'!$I$7:$I$106,MATCH($C96,'Directional Survey'!$I$7:$I$106,1)))*(IFERROR(INDEX('Directional Survey'!$J$7:$J$106,MATCH($C96,'Directional Survey'!$I$7:$I$106,1)+1),INDEX('Directional Survey'!$J$7:$J$106,MATCH($C96,'Directional Survey'!$I$7:$I$106,1)))-INDEX('Directional Survey'!$J$7:$J$106,MATCH($C96,'Directional Survey'!$I$7:$I$106,1)))/(IFERROR(INDEX('Directional Survey'!$I$7:$I$106,MATCH($C96,'Directional Survey'!$I$7:$I$106,1)+1),9.9E+99)-INDEX('Directional Survey'!$I$7:$I$106,MATCH($C96,'Directional Survey'!$I$7:$I$106,1)))</f>
        <v/>
      </c>
      <c r="E96" s="59">
        <f>ROUND($B$62-0.052*($B$71-$B$10)*$D96+$B$16+($B$75-$B$16)*0.05,0)</f>
        <v/>
      </c>
      <c r="F96" s="71">
        <f>MAX($B$75,$B$74-$B$76*$B96/100)</f>
        <v/>
      </c>
    </row>
    <row r="97">
      <c r="A97" s="73" t="n">
        <v>0.1</v>
      </c>
      <c r="B97" s="71">
        <f>ROUND($B$40*0.1,0)</f>
        <v/>
      </c>
      <c r="C97" s="71">
        <f>INDEX($G$27:$G$34,MATCH((0.1*$B$39),$H$27:$H$34,1))+IF(INDEX($E$27:$E$34,MATCH((0.1*$B$39),$H$27:$H$34,1))=0,0,((0.1*$B$39)-INDEX($H$27:$H$34,MATCH((0.1*$B$39),$H$27:$H$34,1)))/INDEX($E$27:$E$34,MATCH((0.1*$B$39),$H$27:$H$34,1)))</f>
        <v/>
      </c>
      <c r="D97" s="71">
        <f>INDEX('Directional Survey'!$J$7:$J$106,MATCH($C97,'Directional Survey'!$I$7:$I$106,1))+($C97-INDEX('Directional Survey'!$I$7:$I$106,MATCH($C97,'Directional Survey'!$I$7:$I$106,1)))*(IFERROR(INDEX('Directional Survey'!$J$7:$J$106,MATCH($C97,'Directional Survey'!$I$7:$I$106,1)+1),INDEX('Directional Survey'!$J$7:$J$106,MATCH($C97,'Directional Survey'!$I$7:$I$106,1)))-INDEX('Directional Survey'!$J$7:$J$106,MATCH($C97,'Directional Survey'!$I$7:$I$106,1)))/(IFERROR(INDEX('Directional Survey'!$I$7:$I$106,MATCH($C97,'Directional Survey'!$I$7:$I$106,1)+1),9.9E+99)-INDEX('Directional Survey'!$I$7:$I$106,MATCH($C97,'Directional Survey'!$I$7:$I$106,1)))</f>
        <v/>
      </c>
      <c r="E97" s="59">
        <f>ROUND($B$62-0.052*($B$71-$B$10)*$D97+$B$16+($B$75-$B$16)*0.1,0)</f>
        <v/>
      </c>
      <c r="F97" s="71">
        <f>MAX($B$75,$B$74-$B$76*$B97/100)</f>
        <v/>
      </c>
    </row>
    <row r="98">
      <c r="A98" s="73" t="n">
        <v>0.15</v>
      </c>
      <c r="B98" s="71">
        <f>ROUND($B$40*0.15,0)</f>
        <v/>
      </c>
      <c r="C98" s="71">
        <f>INDEX($G$27:$G$34,MATCH((0.15*$B$39),$H$27:$H$34,1))+IF(INDEX($E$27:$E$34,MATCH((0.15*$B$39),$H$27:$H$34,1))=0,0,((0.15*$B$39)-INDEX($H$27:$H$34,MATCH((0.15*$B$39),$H$27:$H$34,1)))/INDEX($E$27:$E$34,MATCH((0.15*$B$39),$H$27:$H$34,1)))</f>
        <v/>
      </c>
      <c r="D98" s="71">
        <f>INDEX('Directional Survey'!$J$7:$J$106,MATCH($C98,'Directional Survey'!$I$7:$I$106,1))+($C98-INDEX('Directional Survey'!$I$7:$I$106,MATCH($C98,'Directional Survey'!$I$7:$I$106,1)))*(IFERROR(INDEX('Directional Survey'!$J$7:$J$106,MATCH($C98,'Directional Survey'!$I$7:$I$106,1)+1),INDEX('Directional Survey'!$J$7:$J$106,MATCH($C98,'Directional Survey'!$I$7:$I$106,1)))-INDEX('Directional Survey'!$J$7:$J$106,MATCH($C98,'Directional Survey'!$I$7:$I$106,1)))/(IFERROR(INDEX('Directional Survey'!$I$7:$I$106,MATCH($C98,'Directional Survey'!$I$7:$I$106,1)+1),9.9E+99)-INDEX('Directional Survey'!$I$7:$I$106,MATCH($C98,'Directional Survey'!$I$7:$I$106,1)))</f>
        <v/>
      </c>
      <c r="E98" s="59">
        <f>ROUND($B$62-0.052*($B$71-$B$10)*$D98+$B$16+($B$75-$B$16)*0.15,0)</f>
        <v/>
      </c>
      <c r="F98" s="71">
        <f>MAX($B$75,$B$74-$B$76*$B98/100)</f>
        <v/>
      </c>
    </row>
    <row r="99">
      <c r="A99" s="73" t="n">
        <v>0.2</v>
      </c>
      <c r="B99" s="71">
        <f>ROUND($B$40*0.2,0)</f>
        <v/>
      </c>
      <c r="C99" s="71">
        <f>INDEX($G$27:$G$34,MATCH((0.2*$B$39),$H$27:$H$34,1))+IF(INDEX($E$27:$E$34,MATCH((0.2*$B$39),$H$27:$H$34,1))=0,0,((0.2*$B$39)-INDEX($H$27:$H$34,MATCH((0.2*$B$39),$H$27:$H$34,1)))/INDEX($E$27:$E$34,MATCH((0.2*$B$39),$H$27:$H$34,1)))</f>
        <v/>
      </c>
      <c r="D99" s="71">
        <f>INDEX('Directional Survey'!$J$7:$J$106,MATCH($C99,'Directional Survey'!$I$7:$I$106,1))+($C99-INDEX('Directional Survey'!$I$7:$I$106,MATCH($C99,'Directional Survey'!$I$7:$I$106,1)))*(IFERROR(INDEX('Directional Survey'!$J$7:$J$106,MATCH($C99,'Directional Survey'!$I$7:$I$106,1)+1),INDEX('Directional Survey'!$J$7:$J$106,MATCH($C99,'Directional Survey'!$I$7:$I$106,1)))-INDEX('Directional Survey'!$J$7:$J$106,MATCH($C99,'Directional Survey'!$I$7:$I$106,1)))/(IFERROR(INDEX('Directional Survey'!$I$7:$I$106,MATCH($C99,'Directional Survey'!$I$7:$I$106,1)+1),9.9E+99)-INDEX('Directional Survey'!$I$7:$I$106,MATCH($C99,'Directional Survey'!$I$7:$I$106,1)))</f>
        <v/>
      </c>
      <c r="E99" s="59">
        <f>ROUND($B$62-0.052*($B$71-$B$10)*$D99+$B$16+($B$75-$B$16)*0.2,0)</f>
        <v/>
      </c>
      <c r="F99" s="71">
        <f>MAX($B$75,$B$74-$B$76*$B99/100)</f>
        <v/>
      </c>
    </row>
    <row r="100">
      <c r="A100" s="73" t="n">
        <v>0.25</v>
      </c>
      <c r="B100" s="71">
        <f>ROUND($B$40*0.25,0)</f>
        <v/>
      </c>
      <c r="C100" s="71">
        <f>INDEX($G$27:$G$34,MATCH((0.25*$B$39),$H$27:$H$34,1))+IF(INDEX($E$27:$E$34,MATCH((0.25*$B$39),$H$27:$H$34,1))=0,0,((0.25*$B$39)-INDEX($H$27:$H$34,MATCH((0.25*$B$39),$H$27:$H$34,1)))/INDEX($E$27:$E$34,MATCH((0.25*$B$39),$H$27:$H$34,1)))</f>
        <v/>
      </c>
      <c r="D100" s="71">
        <f>INDEX('Directional Survey'!$J$7:$J$106,MATCH($C100,'Directional Survey'!$I$7:$I$106,1))+($C100-INDEX('Directional Survey'!$I$7:$I$106,MATCH($C100,'Directional Survey'!$I$7:$I$106,1)))*(IFERROR(INDEX('Directional Survey'!$J$7:$J$106,MATCH($C100,'Directional Survey'!$I$7:$I$106,1)+1),INDEX('Directional Survey'!$J$7:$J$106,MATCH($C100,'Directional Survey'!$I$7:$I$106,1)))-INDEX('Directional Survey'!$J$7:$J$106,MATCH($C100,'Directional Survey'!$I$7:$I$106,1)))/(IFERROR(INDEX('Directional Survey'!$I$7:$I$106,MATCH($C100,'Directional Survey'!$I$7:$I$106,1)+1),9.9E+99)-INDEX('Directional Survey'!$I$7:$I$106,MATCH($C100,'Directional Survey'!$I$7:$I$106,1)))</f>
        <v/>
      </c>
      <c r="E100" s="59">
        <f>ROUND($B$62-0.052*($B$71-$B$10)*$D100+$B$16+($B$75-$B$16)*0.25,0)</f>
        <v/>
      </c>
      <c r="F100" s="71">
        <f>MAX($B$75,$B$74-$B$76*$B100/100)</f>
        <v/>
      </c>
    </row>
    <row r="101">
      <c r="A101" s="73" t="n">
        <v>0.3</v>
      </c>
      <c r="B101" s="71">
        <f>ROUND($B$40*0.3,0)</f>
        <v/>
      </c>
      <c r="C101" s="71">
        <f>INDEX($G$27:$G$34,MATCH((0.3*$B$39),$H$27:$H$34,1))+IF(INDEX($E$27:$E$34,MATCH((0.3*$B$39),$H$27:$H$34,1))=0,0,((0.3*$B$39)-INDEX($H$27:$H$34,MATCH((0.3*$B$39),$H$27:$H$34,1)))/INDEX($E$27:$E$34,MATCH((0.3*$B$39),$H$27:$H$34,1)))</f>
        <v/>
      </c>
      <c r="D101" s="71">
        <f>INDEX('Directional Survey'!$J$7:$J$106,MATCH($C101,'Directional Survey'!$I$7:$I$106,1))+($C101-INDEX('Directional Survey'!$I$7:$I$106,MATCH($C101,'Directional Survey'!$I$7:$I$106,1)))*(IFERROR(INDEX('Directional Survey'!$J$7:$J$106,MATCH($C101,'Directional Survey'!$I$7:$I$106,1)+1),INDEX('Directional Survey'!$J$7:$J$106,MATCH($C101,'Directional Survey'!$I$7:$I$106,1)))-INDEX('Directional Survey'!$J$7:$J$106,MATCH($C101,'Directional Survey'!$I$7:$I$106,1)))/(IFERROR(INDEX('Directional Survey'!$I$7:$I$106,MATCH($C101,'Directional Survey'!$I$7:$I$106,1)+1),9.9E+99)-INDEX('Directional Survey'!$I$7:$I$106,MATCH($C101,'Directional Survey'!$I$7:$I$106,1)))</f>
        <v/>
      </c>
      <c r="E101" s="59">
        <f>ROUND($B$62-0.052*($B$71-$B$10)*$D101+$B$16+($B$75-$B$16)*0.3,0)</f>
        <v/>
      </c>
      <c r="F101" s="71">
        <f>MAX($B$75,$B$74-$B$76*$B101/100)</f>
        <v/>
      </c>
    </row>
    <row r="102">
      <c r="A102" s="73" t="n">
        <v>0.35</v>
      </c>
      <c r="B102" s="71">
        <f>ROUND($B$40*0.35,0)</f>
        <v/>
      </c>
      <c r="C102" s="71">
        <f>INDEX($G$27:$G$34,MATCH((0.35*$B$39),$H$27:$H$34,1))+IF(INDEX($E$27:$E$34,MATCH((0.35*$B$39),$H$27:$H$34,1))=0,0,((0.35*$B$39)-INDEX($H$27:$H$34,MATCH((0.35*$B$39),$H$27:$H$34,1)))/INDEX($E$27:$E$34,MATCH((0.35*$B$39),$H$27:$H$34,1)))</f>
        <v/>
      </c>
      <c r="D102" s="71">
        <f>INDEX('Directional Survey'!$J$7:$J$106,MATCH($C102,'Directional Survey'!$I$7:$I$106,1))+($C102-INDEX('Directional Survey'!$I$7:$I$106,MATCH($C102,'Directional Survey'!$I$7:$I$106,1)))*(IFERROR(INDEX('Directional Survey'!$J$7:$J$106,MATCH($C102,'Directional Survey'!$I$7:$I$106,1)+1),INDEX('Directional Survey'!$J$7:$J$106,MATCH($C102,'Directional Survey'!$I$7:$I$106,1)))-INDEX('Directional Survey'!$J$7:$J$106,MATCH($C102,'Directional Survey'!$I$7:$I$106,1)))/(IFERROR(INDEX('Directional Survey'!$I$7:$I$106,MATCH($C102,'Directional Survey'!$I$7:$I$106,1)+1),9.9E+99)-INDEX('Directional Survey'!$I$7:$I$106,MATCH($C102,'Directional Survey'!$I$7:$I$106,1)))</f>
        <v/>
      </c>
      <c r="E102" s="59">
        <f>ROUND($B$62-0.052*($B$71-$B$10)*$D102+$B$16+($B$75-$B$16)*0.35,0)</f>
        <v/>
      </c>
      <c r="F102" s="71">
        <f>MAX($B$75,$B$74-$B$76*$B102/100)</f>
        <v/>
      </c>
    </row>
    <row r="103">
      <c r="A103" s="73" t="n">
        <v>0.4</v>
      </c>
      <c r="B103" s="71">
        <f>ROUND($B$40*0.4,0)</f>
        <v/>
      </c>
      <c r="C103" s="71">
        <f>INDEX($G$27:$G$34,MATCH((0.4*$B$39),$H$27:$H$34,1))+IF(INDEX($E$27:$E$34,MATCH((0.4*$B$39),$H$27:$H$34,1))=0,0,((0.4*$B$39)-INDEX($H$27:$H$34,MATCH((0.4*$B$39),$H$27:$H$34,1)))/INDEX($E$27:$E$34,MATCH((0.4*$B$39),$H$27:$H$34,1)))</f>
        <v/>
      </c>
      <c r="D103" s="71">
        <f>INDEX('Directional Survey'!$J$7:$J$106,MATCH($C103,'Directional Survey'!$I$7:$I$106,1))+($C103-INDEX('Directional Survey'!$I$7:$I$106,MATCH($C103,'Directional Survey'!$I$7:$I$106,1)))*(IFERROR(INDEX('Directional Survey'!$J$7:$J$106,MATCH($C103,'Directional Survey'!$I$7:$I$106,1)+1),INDEX('Directional Survey'!$J$7:$J$106,MATCH($C103,'Directional Survey'!$I$7:$I$106,1)))-INDEX('Directional Survey'!$J$7:$J$106,MATCH($C103,'Directional Survey'!$I$7:$I$106,1)))/(IFERROR(INDEX('Directional Survey'!$I$7:$I$106,MATCH($C103,'Directional Survey'!$I$7:$I$106,1)+1),9.9E+99)-INDEX('Directional Survey'!$I$7:$I$106,MATCH($C103,'Directional Survey'!$I$7:$I$106,1)))</f>
        <v/>
      </c>
      <c r="E103" s="59">
        <f>ROUND($B$62-0.052*($B$71-$B$10)*$D103+$B$16+($B$75-$B$16)*0.4,0)</f>
        <v/>
      </c>
      <c r="F103" s="71">
        <f>MAX($B$75,$B$74-$B$76*$B103/100)</f>
        <v/>
      </c>
    </row>
    <row r="104">
      <c r="A104" s="73" t="n">
        <v>0.45</v>
      </c>
      <c r="B104" s="71">
        <f>ROUND($B$40*0.45,0)</f>
        <v/>
      </c>
      <c r="C104" s="71">
        <f>INDEX($G$27:$G$34,MATCH((0.45*$B$39),$H$27:$H$34,1))+IF(INDEX($E$27:$E$34,MATCH((0.45*$B$39),$H$27:$H$34,1))=0,0,((0.45*$B$39)-INDEX($H$27:$H$34,MATCH((0.45*$B$39),$H$27:$H$34,1)))/INDEX($E$27:$E$34,MATCH((0.45*$B$39),$H$27:$H$34,1)))</f>
        <v/>
      </c>
      <c r="D104" s="71">
        <f>INDEX('Directional Survey'!$J$7:$J$106,MATCH($C104,'Directional Survey'!$I$7:$I$106,1))+($C104-INDEX('Directional Survey'!$I$7:$I$106,MATCH($C104,'Directional Survey'!$I$7:$I$106,1)))*(IFERROR(INDEX('Directional Survey'!$J$7:$J$106,MATCH($C104,'Directional Survey'!$I$7:$I$106,1)+1),INDEX('Directional Survey'!$J$7:$J$106,MATCH($C104,'Directional Survey'!$I$7:$I$106,1)))-INDEX('Directional Survey'!$J$7:$J$106,MATCH($C104,'Directional Survey'!$I$7:$I$106,1)))/(IFERROR(INDEX('Directional Survey'!$I$7:$I$106,MATCH($C104,'Directional Survey'!$I$7:$I$106,1)+1),9.9E+99)-INDEX('Directional Survey'!$I$7:$I$106,MATCH($C104,'Directional Survey'!$I$7:$I$106,1)))</f>
        <v/>
      </c>
      <c r="E104" s="59">
        <f>ROUND($B$62-0.052*($B$71-$B$10)*$D104+$B$16+($B$75-$B$16)*0.45,0)</f>
        <v/>
      </c>
      <c r="F104" s="71">
        <f>MAX($B$75,$B$74-$B$76*$B104/100)</f>
        <v/>
      </c>
    </row>
    <row r="105">
      <c r="A105" s="73" t="n">
        <v>0.5</v>
      </c>
      <c r="B105" s="71">
        <f>ROUND($B$40*0.5,0)</f>
        <v/>
      </c>
      <c r="C105" s="71">
        <f>INDEX($G$27:$G$34,MATCH((0.5*$B$39),$H$27:$H$34,1))+IF(INDEX($E$27:$E$34,MATCH((0.5*$B$39),$H$27:$H$34,1))=0,0,((0.5*$B$39)-INDEX($H$27:$H$34,MATCH((0.5*$B$39),$H$27:$H$34,1)))/INDEX($E$27:$E$34,MATCH((0.5*$B$39),$H$27:$H$34,1)))</f>
        <v/>
      </c>
      <c r="D105" s="71">
        <f>INDEX('Directional Survey'!$J$7:$J$106,MATCH($C105,'Directional Survey'!$I$7:$I$106,1))+($C105-INDEX('Directional Survey'!$I$7:$I$106,MATCH($C105,'Directional Survey'!$I$7:$I$106,1)))*(IFERROR(INDEX('Directional Survey'!$J$7:$J$106,MATCH($C105,'Directional Survey'!$I$7:$I$106,1)+1),INDEX('Directional Survey'!$J$7:$J$106,MATCH($C105,'Directional Survey'!$I$7:$I$106,1)))-INDEX('Directional Survey'!$J$7:$J$106,MATCH($C105,'Directional Survey'!$I$7:$I$106,1)))/(IFERROR(INDEX('Directional Survey'!$I$7:$I$106,MATCH($C105,'Directional Survey'!$I$7:$I$106,1)+1),9.9E+99)-INDEX('Directional Survey'!$I$7:$I$106,MATCH($C105,'Directional Survey'!$I$7:$I$106,1)))</f>
        <v/>
      </c>
      <c r="E105" s="59">
        <f>ROUND($B$62-0.052*($B$71-$B$10)*$D105+$B$16+($B$75-$B$16)*0.5,0)</f>
        <v/>
      </c>
      <c r="F105" s="71">
        <f>MAX($B$75,$B$74-$B$76*$B105/100)</f>
        <v/>
      </c>
    </row>
    <row r="106">
      <c r="A106" s="73" t="n">
        <v>0.55</v>
      </c>
      <c r="B106" s="71">
        <f>ROUND($B$40*0.55,0)</f>
        <v/>
      </c>
      <c r="C106" s="71">
        <f>INDEX($G$27:$G$34,MATCH((0.55*$B$39),$H$27:$H$34,1))+IF(INDEX($E$27:$E$34,MATCH((0.55*$B$39),$H$27:$H$34,1))=0,0,((0.55*$B$39)-INDEX($H$27:$H$34,MATCH((0.55*$B$39),$H$27:$H$34,1)))/INDEX($E$27:$E$34,MATCH((0.55*$B$39),$H$27:$H$34,1)))</f>
        <v/>
      </c>
      <c r="D106" s="71">
        <f>INDEX('Directional Survey'!$J$7:$J$106,MATCH($C106,'Directional Survey'!$I$7:$I$106,1))+($C106-INDEX('Directional Survey'!$I$7:$I$106,MATCH($C106,'Directional Survey'!$I$7:$I$106,1)))*(IFERROR(INDEX('Directional Survey'!$J$7:$J$106,MATCH($C106,'Directional Survey'!$I$7:$I$106,1)+1),INDEX('Directional Survey'!$J$7:$J$106,MATCH($C106,'Directional Survey'!$I$7:$I$106,1)))-INDEX('Directional Survey'!$J$7:$J$106,MATCH($C106,'Directional Survey'!$I$7:$I$106,1)))/(IFERROR(INDEX('Directional Survey'!$I$7:$I$106,MATCH($C106,'Directional Survey'!$I$7:$I$106,1)+1),9.9E+99)-INDEX('Directional Survey'!$I$7:$I$106,MATCH($C106,'Directional Survey'!$I$7:$I$106,1)))</f>
        <v/>
      </c>
      <c r="E106" s="59">
        <f>ROUND($B$62-0.052*($B$71-$B$10)*$D106+$B$16+($B$75-$B$16)*0.55,0)</f>
        <v/>
      </c>
      <c r="F106" s="71">
        <f>MAX($B$75,$B$74-$B$76*$B106/100)</f>
        <v/>
      </c>
    </row>
    <row r="107">
      <c r="A107" s="73" t="n">
        <v>0.6</v>
      </c>
      <c r="B107" s="71">
        <f>ROUND($B$40*0.6,0)</f>
        <v/>
      </c>
      <c r="C107" s="71">
        <f>INDEX($G$27:$G$34,MATCH((0.6*$B$39),$H$27:$H$34,1))+IF(INDEX($E$27:$E$34,MATCH((0.6*$B$39),$H$27:$H$34,1))=0,0,((0.6*$B$39)-INDEX($H$27:$H$34,MATCH((0.6*$B$39),$H$27:$H$34,1)))/INDEX($E$27:$E$34,MATCH((0.6*$B$39),$H$27:$H$34,1)))</f>
        <v/>
      </c>
      <c r="D107" s="71">
        <f>INDEX('Directional Survey'!$J$7:$J$106,MATCH($C107,'Directional Survey'!$I$7:$I$106,1))+($C107-INDEX('Directional Survey'!$I$7:$I$106,MATCH($C107,'Directional Survey'!$I$7:$I$106,1)))*(IFERROR(INDEX('Directional Survey'!$J$7:$J$106,MATCH($C107,'Directional Survey'!$I$7:$I$106,1)+1),INDEX('Directional Survey'!$J$7:$J$106,MATCH($C107,'Directional Survey'!$I$7:$I$106,1)))-INDEX('Directional Survey'!$J$7:$J$106,MATCH($C107,'Directional Survey'!$I$7:$I$106,1)))/(IFERROR(INDEX('Directional Survey'!$I$7:$I$106,MATCH($C107,'Directional Survey'!$I$7:$I$106,1)+1),9.9E+99)-INDEX('Directional Survey'!$I$7:$I$106,MATCH($C107,'Directional Survey'!$I$7:$I$106,1)))</f>
        <v/>
      </c>
      <c r="E107" s="59">
        <f>ROUND($B$62-0.052*($B$71-$B$10)*$D107+$B$16+($B$75-$B$16)*0.6,0)</f>
        <v/>
      </c>
      <c r="F107" s="71">
        <f>MAX($B$75,$B$74-$B$76*$B107/100)</f>
        <v/>
      </c>
    </row>
    <row r="108">
      <c r="A108" s="73" t="n">
        <v>0.65</v>
      </c>
      <c r="B108" s="71">
        <f>ROUND($B$40*0.65,0)</f>
        <v/>
      </c>
      <c r="C108" s="71">
        <f>INDEX($G$27:$G$34,MATCH((0.65*$B$39),$H$27:$H$34,1))+IF(INDEX($E$27:$E$34,MATCH((0.65*$B$39),$H$27:$H$34,1))=0,0,((0.65*$B$39)-INDEX($H$27:$H$34,MATCH((0.65*$B$39),$H$27:$H$34,1)))/INDEX($E$27:$E$34,MATCH((0.65*$B$39),$H$27:$H$34,1)))</f>
        <v/>
      </c>
      <c r="D108" s="71">
        <f>INDEX('Directional Survey'!$J$7:$J$106,MATCH($C108,'Directional Survey'!$I$7:$I$106,1))+($C108-INDEX('Directional Survey'!$I$7:$I$106,MATCH($C108,'Directional Survey'!$I$7:$I$106,1)))*(IFERROR(INDEX('Directional Survey'!$J$7:$J$106,MATCH($C108,'Directional Survey'!$I$7:$I$106,1)+1),INDEX('Directional Survey'!$J$7:$J$106,MATCH($C108,'Directional Survey'!$I$7:$I$106,1)))-INDEX('Directional Survey'!$J$7:$J$106,MATCH($C108,'Directional Survey'!$I$7:$I$106,1)))/(IFERROR(INDEX('Directional Survey'!$I$7:$I$106,MATCH($C108,'Directional Survey'!$I$7:$I$106,1)+1),9.9E+99)-INDEX('Directional Survey'!$I$7:$I$106,MATCH($C108,'Directional Survey'!$I$7:$I$106,1)))</f>
        <v/>
      </c>
      <c r="E108" s="59">
        <f>ROUND($B$62-0.052*($B$71-$B$10)*$D108+$B$16+($B$75-$B$16)*0.65,0)</f>
        <v/>
      </c>
      <c r="F108" s="71">
        <f>MAX($B$75,$B$74-$B$76*$B108/100)</f>
        <v/>
      </c>
    </row>
    <row r="109">
      <c r="A109" s="73" t="n">
        <v>0.7</v>
      </c>
      <c r="B109" s="71">
        <f>ROUND($B$40*0.7,0)</f>
        <v/>
      </c>
      <c r="C109" s="71">
        <f>INDEX($G$27:$G$34,MATCH((0.7*$B$39),$H$27:$H$34,1))+IF(INDEX($E$27:$E$34,MATCH((0.7*$B$39),$H$27:$H$34,1))=0,0,((0.7*$B$39)-INDEX($H$27:$H$34,MATCH((0.7*$B$39),$H$27:$H$34,1)))/INDEX($E$27:$E$34,MATCH((0.7*$B$39),$H$27:$H$34,1)))</f>
        <v/>
      </c>
      <c r="D109" s="71">
        <f>INDEX('Directional Survey'!$J$7:$J$106,MATCH($C109,'Directional Survey'!$I$7:$I$106,1))+($C109-INDEX('Directional Survey'!$I$7:$I$106,MATCH($C109,'Directional Survey'!$I$7:$I$106,1)))*(IFERROR(INDEX('Directional Survey'!$J$7:$J$106,MATCH($C109,'Directional Survey'!$I$7:$I$106,1)+1),INDEX('Directional Survey'!$J$7:$J$106,MATCH($C109,'Directional Survey'!$I$7:$I$106,1)))-INDEX('Directional Survey'!$J$7:$J$106,MATCH($C109,'Directional Survey'!$I$7:$I$106,1)))/(IFERROR(INDEX('Directional Survey'!$I$7:$I$106,MATCH($C109,'Directional Survey'!$I$7:$I$106,1)+1),9.9E+99)-INDEX('Directional Survey'!$I$7:$I$106,MATCH($C109,'Directional Survey'!$I$7:$I$106,1)))</f>
        <v/>
      </c>
      <c r="E109" s="59">
        <f>ROUND($B$62-0.052*($B$71-$B$10)*$D109+$B$16+($B$75-$B$16)*0.7,0)</f>
        <v/>
      </c>
      <c r="F109" s="71">
        <f>MAX($B$75,$B$74-$B$76*$B109/100)</f>
        <v/>
      </c>
    </row>
    <row r="110">
      <c r="A110" s="73" t="n">
        <v>0.75</v>
      </c>
      <c r="B110" s="71">
        <f>ROUND($B$40*0.75,0)</f>
        <v/>
      </c>
      <c r="C110" s="71">
        <f>INDEX($G$27:$G$34,MATCH((0.75*$B$39),$H$27:$H$34,1))+IF(INDEX($E$27:$E$34,MATCH((0.75*$B$39),$H$27:$H$34,1))=0,0,((0.75*$B$39)-INDEX($H$27:$H$34,MATCH((0.75*$B$39),$H$27:$H$34,1)))/INDEX($E$27:$E$34,MATCH((0.75*$B$39),$H$27:$H$34,1)))</f>
        <v/>
      </c>
      <c r="D110" s="71">
        <f>INDEX('Directional Survey'!$J$7:$J$106,MATCH($C110,'Directional Survey'!$I$7:$I$106,1))+($C110-INDEX('Directional Survey'!$I$7:$I$106,MATCH($C110,'Directional Survey'!$I$7:$I$106,1)))*(IFERROR(INDEX('Directional Survey'!$J$7:$J$106,MATCH($C110,'Directional Survey'!$I$7:$I$106,1)+1),INDEX('Directional Survey'!$J$7:$J$106,MATCH($C110,'Directional Survey'!$I$7:$I$106,1)))-INDEX('Directional Survey'!$J$7:$J$106,MATCH($C110,'Directional Survey'!$I$7:$I$106,1)))/(IFERROR(INDEX('Directional Survey'!$I$7:$I$106,MATCH($C110,'Directional Survey'!$I$7:$I$106,1)+1),9.9E+99)-INDEX('Directional Survey'!$I$7:$I$106,MATCH($C110,'Directional Survey'!$I$7:$I$106,1)))</f>
        <v/>
      </c>
      <c r="E110" s="59">
        <f>ROUND($B$62-0.052*($B$71-$B$10)*$D110+$B$16+($B$75-$B$16)*0.75,0)</f>
        <v/>
      </c>
      <c r="F110" s="71">
        <f>MAX($B$75,$B$74-$B$76*$B110/100)</f>
        <v/>
      </c>
    </row>
    <row r="111">
      <c r="A111" s="73" t="n">
        <v>0.8</v>
      </c>
      <c r="B111" s="71">
        <f>ROUND($B$40*0.8,0)</f>
        <v/>
      </c>
      <c r="C111" s="71">
        <f>INDEX($G$27:$G$34,MATCH((0.8*$B$39),$H$27:$H$34,1))+IF(INDEX($E$27:$E$34,MATCH((0.8*$B$39),$H$27:$H$34,1))=0,0,((0.8*$B$39)-INDEX($H$27:$H$34,MATCH((0.8*$B$39),$H$27:$H$34,1)))/INDEX($E$27:$E$34,MATCH((0.8*$B$39),$H$27:$H$34,1)))</f>
        <v/>
      </c>
      <c r="D111" s="71">
        <f>INDEX('Directional Survey'!$J$7:$J$106,MATCH($C111,'Directional Survey'!$I$7:$I$106,1))+($C111-INDEX('Directional Survey'!$I$7:$I$106,MATCH($C111,'Directional Survey'!$I$7:$I$106,1)))*(IFERROR(INDEX('Directional Survey'!$J$7:$J$106,MATCH($C111,'Directional Survey'!$I$7:$I$106,1)+1),INDEX('Directional Survey'!$J$7:$J$106,MATCH($C111,'Directional Survey'!$I$7:$I$106,1)))-INDEX('Directional Survey'!$J$7:$J$106,MATCH($C111,'Directional Survey'!$I$7:$I$106,1)))/(IFERROR(INDEX('Directional Survey'!$I$7:$I$106,MATCH($C111,'Directional Survey'!$I$7:$I$106,1)+1),9.9E+99)-INDEX('Directional Survey'!$I$7:$I$106,MATCH($C111,'Directional Survey'!$I$7:$I$106,1)))</f>
        <v/>
      </c>
      <c r="E111" s="59">
        <f>ROUND($B$62-0.052*($B$71-$B$10)*$D111+$B$16+($B$75-$B$16)*0.8,0)</f>
        <v/>
      </c>
      <c r="F111" s="71">
        <f>MAX($B$75,$B$74-$B$76*$B111/100)</f>
        <v/>
      </c>
    </row>
    <row r="112">
      <c r="A112" s="73" t="n">
        <v>0.85</v>
      </c>
      <c r="B112" s="71">
        <f>ROUND($B$40*0.85,0)</f>
        <v/>
      </c>
      <c r="C112" s="71">
        <f>INDEX($G$27:$G$34,MATCH((0.85*$B$39),$H$27:$H$34,1))+IF(INDEX($E$27:$E$34,MATCH((0.85*$B$39),$H$27:$H$34,1))=0,0,((0.85*$B$39)-INDEX($H$27:$H$34,MATCH((0.85*$B$39),$H$27:$H$34,1)))/INDEX($E$27:$E$34,MATCH((0.85*$B$39),$H$27:$H$34,1)))</f>
        <v/>
      </c>
      <c r="D112" s="71">
        <f>INDEX('Directional Survey'!$J$7:$J$106,MATCH($C112,'Directional Survey'!$I$7:$I$106,1))+($C112-INDEX('Directional Survey'!$I$7:$I$106,MATCH($C112,'Directional Survey'!$I$7:$I$106,1)))*(IFERROR(INDEX('Directional Survey'!$J$7:$J$106,MATCH($C112,'Directional Survey'!$I$7:$I$106,1)+1),INDEX('Directional Survey'!$J$7:$J$106,MATCH($C112,'Directional Survey'!$I$7:$I$106,1)))-INDEX('Directional Survey'!$J$7:$J$106,MATCH($C112,'Directional Survey'!$I$7:$I$106,1)))/(IFERROR(INDEX('Directional Survey'!$I$7:$I$106,MATCH($C112,'Directional Survey'!$I$7:$I$106,1)+1),9.9E+99)-INDEX('Directional Survey'!$I$7:$I$106,MATCH($C112,'Directional Survey'!$I$7:$I$106,1)))</f>
        <v/>
      </c>
      <c r="E112" s="59">
        <f>ROUND($B$62-0.052*($B$71-$B$10)*$D112+$B$16+($B$75-$B$16)*0.85,0)</f>
        <v/>
      </c>
      <c r="F112" s="71">
        <f>MAX($B$75,$B$74-$B$76*$B112/100)</f>
        <v/>
      </c>
    </row>
    <row r="113">
      <c r="A113" s="73" t="n">
        <v>0.9</v>
      </c>
      <c r="B113" s="71">
        <f>ROUND($B$40*0.9,0)</f>
        <v/>
      </c>
      <c r="C113" s="71">
        <f>INDEX($G$27:$G$34,MATCH((0.9*$B$39),$H$27:$H$34,1))+IF(INDEX($E$27:$E$34,MATCH((0.9*$B$39),$H$27:$H$34,1))=0,0,((0.9*$B$39)-INDEX($H$27:$H$34,MATCH((0.9*$B$39),$H$27:$H$34,1)))/INDEX($E$27:$E$34,MATCH((0.9*$B$39),$H$27:$H$34,1)))</f>
        <v/>
      </c>
      <c r="D113" s="71">
        <f>INDEX('Directional Survey'!$J$7:$J$106,MATCH($C113,'Directional Survey'!$I$7:$I$106,1))+($C113-INDEX('Directional Survey'!$I$7:$I$106,MATCH($C113,'Directional Survey'!$I$7:$I$106,1)))*(IFERROR(INDEX('Directional Survey'!$J$7:$J$106,MATCH($C113,'Directional Survey'!$I$7:$I$106,1)+1),INDEX('Directional Survey'!$J$7:$J$106,MATCH($C113,'Directional Survey'!$I$7:$I$106,1)))-INDEX('Directional Survey'!$J$7:$J$106,MATCH($C113,'Directional Survey'!$I$7:$I$106,1)))/(IFERROR(INDEX('Directional Survey'!$I$7:$I$106,MATCH($C113,'Directional Survey'!$I$7:$I$106,1)+1),9.9E+99)-INDEX('Directional Survey'!$I$7:$I$106,MATCH($C113,'Directional Survey'!$I$7:$I$106,1)))</f>
        <v/>
      </c>
      <c r="E113" s="59">
        <f>ROUND($B$62-0.052*($B$71-$B$10)*$D113+$B$16+($B$75-$B$16)*0.9,0)</f>
        <v/>
      </c>
      <c r="F113" s="71">
        <f>MAX($B$75,$B$74-$B$76*$B113/100)</f>
        <v/>
      </c>
    </row>
    <row r="114">
      <c r="A114" s="73" t="n">
        <v>0.95</v>
      </c>
      <c r="B114" s="71">
        <f>ROUND($B$40*0.95,0)</f>
        <v/>
      </c>
      <c r="C114" s="71">
        <f>INDEX($G$27:$G$34,MATCH((0.95*$B$39),$H$27:$H$34,1))+IF(INDEX($E$27:$E$34,MATCH((0.95*$B$39),$H$27:$H$34,1))=0,0,((0.95*$B$39)-INDEX($H$27:$H$34,MATCH((0.95*$B$39),$H$27:$H$34,1)))/INDEX($E$27:$E$34,MATCH((0.95*$B$39),$H$27:$H$34,1)))</f>
        <v/>
      </c>
      <c r="D114" s="71">
        <f>INDEX('Directional Survey'!$J$7:$J$106,MATCH($C114,'Directional Survey'!$I$7:$I$106,1))+($C114-INDEX('Directional Survey'!$I$7:$I$106,MATCH($C114,'Directional Survey'!$I$7:$I$106,1)))*(IFERROR(INDEX('Directional Survey'!$J$7:$J$106,MATCH($C114,'Directional Survey'!$I$7:$I$106,1)+1),INDEX('Directional Survey'!$J$7:$J$106,MATCH($C114,'Directional Survey'!$I$7:$I$106,1)))-INDEX('Directional Survey'!$J$7:$J$106,MATCH($C114,'Directional Survey'!$I$7:$I$106,1)))/(IFERROR(INDEX('Directional Survey'!$I$7:$I$106,MATCH($C114,'Directional Survey'!$I$7:$I$106,1)+1),9.9E+99)-INDEX('Directional Survey'!$I$7:$I$106,MATCH($C114,'Directional Survey'!$I$7:$I$106,1)))</f>
        <v/>
      </c>
      <c r="E114" s="59">
        <f>ROUND($B$62-0.052*($B$71-$B$10)*$D114+$B$16+($B$75-$B$16)*0.95,0)</f>
        <v/>
      </c>
      <c r="F114" s="71">
        <f>MAX($B$75,$B$74-$B$76*$B114/100)</f>
        <v/>
      </c>
    </row>
    <row r="115">
      <c r="A115" s="73" t="n">
        <v>1</v>
      </c>
      <c r="B115" s="71">
        <f>ROUND($B$40*1.0,0)</f>
        <v/>
      </c>
      <c r="C115" s="71">
        <f>INDEX($G$27:$G$34,MATCH((1.0*$B$39),$H$27:$H$34,1))+IF(INDEX($E$27:$E$34,MATCH((1.0*$B$39),$H$27:$H$34,1))=0,0,((1.0*$B$39)-INDEX($H$27:$H$34,MATCH((1.0*$B$39),$H$27:$H$34,1)))/INDEX($E$27:$E$34,MATCH((1.0*$B$39),$H$27:$H$34,1)))</f>
        <v/>
      </c>
      <c r="D115" s="71">
        <f>INDEX('Directional Survey'!$J$7:$J$106,MATCH($C115,'Directional Survey'!$I$7:$I$106,1))+($C115-INDEX('Directional Survey'!$I$7:$I$106,MATCH($C115,'Directional Survey'!$I$7:$I$106,1)))*(IFERROR(INDEX('Directional Survey'!$J$7:$J$106,MATCH($C115,'Directional Survey'!$I$7:$I$106,1)+1),INDEX('Directional Survey'!$J$7:$J$106,MATCH($C115,'Directional Survey'!$I$7:$I$106,1)))-INDEX('Directional Survey'!$J$7:$J$106,MATCH($C115,'Directional Survey'!$I$7:$I$106,1)))/(IFERROR(INDEX('Directional Survey'!$I$7:$I$106,MATCH($C115,'Directional Survey'!$I$7:$I$106,1)+1),9.9E+99)-INDEX('Directional Survey'!$I$7:$I$106,MATCH($C115,'Directional Survey'!$I$7:$I$106,1)))</f>
        <v/>
      </c>
      <c r="E115" s="59">
        <f>ROUND($B$62-0.052*($B$71-$B$10)*$D115+$B$16+($B$75-$B$16)*1.0,0)</f>
        <v/>
      </c>
      <c r="F115" s="71">
        <f>MAX($B$75,$B$74-$B$76*$B115/100)</f>
        <v/>
      </c>
    </row>
  </sheetData>
  <sheetProtection selectLockedCells="0" selectUnlockedCells="0" sheet="1" objects="0" insertRows="1" insertHyperlinks="1" autoFilter="1" scenarios="0" formatColumns="0" deleteColumns="1" insertColumns="1" pivotTables="1" deleteRows="1" formatCells="1" formatRows="0" sort="1"/>
  <mergeCells count="9">
    <mergeCell ref="A24:F24"/>
    <mergeCell ref="A2:F2"/>
    <mergeCell ref="A93:F93"/>
    <mergeCell ref="A66:F66"/>
    <mergeCell ref="A1:F1"/>
    <mergeCell ref="A6:F6"/>
    <mergeCell ref="A58:F58"/>
    <mergeCell ref="A92:F92"/>
    <mergeCell ref="A43:F43"/>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dataValidations count="1">
    <dataValidation sqref="A27:A34" showDropDown="0" showInputMessage="0" showErrorMessage="0" allowBlank="1" type="list">
      <formula1>=TL_Names</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2E75B6"/>
    <outlinePr summaryBelow="1" summaryRight="1"/>
    <pageSetUpPr fitToPage="1"/>
  </sheetPr>
  <dimension ref="A1:F39"/>
  <sheetViews>
    <sheetView showGridLines="0" workbookViewId="0">
      <selection activeCell="A1" sqref="A1"/>
    </sheetView>
  </sheetViews>
  <sheetFormatPr baseColWidth="8" defaultRowHeight="15"/>
  <cols>
    <col width="26" customWidth="1" min="1" max="1"/>
    <col width="13" customWidth="1" min="2" max="2"/>
    <col width="8" customWidth="1" min="3" max="3"/>
    <col width="4" customWidth="1" min="4" max="4"/>
    <col width="14" customWidth="1" min="5" max="5"/>
    <col width="13" customWidth="1" min="6" max="6"/>
  </cols>
  <sheetData>
    <row r="1" ht="24" customHeight="1">
      <c r="A1" s="74" t="inlineStr">
        <is>
          <t>WELL KILL SHEET - SURFACE BOP</t>
        </is>
      </c>
    </row>
    <row r="3">
      <c r="A3" s="75" t="inlineStr">
        <is>
          <t>Well</t>
        </is>
      </c>
      <c r="B3" s="76">
        <f>WD_Well</f>
        <v/>
      </c>
      <c r="D3" s="75" t="inlineStr">
        <is>
          <t>Date</t>
        </is>
      </c>
      <c r="E3" s="76">
        <f>WD_Date</f>
        <v/>
      </c>
    </row>
    <row r="4">
      <c r="A4" s="75" t="inlineStr">
        <is>
          <t>Rig</t>
        </is>
      </c>
      <c r="B4" s="76">
        <f>WD_Rig</f>
        <v/>
      </c>
      <c r="D4" s="75" t="inlineStr">
        <is>
          <t>Engineer</t>
        </is>
      </c>
      <c r="E4" s="76">
        <f>WD_Engineer</f>
        <v/>
      </c>
    </row>
    <row r="6">
      <c r="A6" s="77" t="inlineStr">
        <is>
          <t>PRE-RECORDED DATA</t>
        </is>
      </c>
      <c r="B6" s="24" t="n"/>
      <c r="C6" s="24" t="n"/>
    </row>
    <row r="7">
      <c r="A7" s="75" t="inlineStr">
        <is>
          <t>Current mud weight</t>
        </is>
      </c>
      <c r="B7" s="78">
        <f>'Kill Sheet'!$B$10</f>
        <v/>
      </c>
      <c r="C7" s="79" t="inlineStr">
        <is>
          <t>ppg</t>
        </is>
      </c>
    </row>
    <row r="8">
      <c r="A8" s="75" t="inlineStr">
        <is>
          <t>MD / TVD at bit</t>
        </is>
      </c>
      <c r="B8" s="80">
        <f>'Kill Sheet'!$B$11</f>
        <v/>
      </c>
      <c r="C8" s="79" t="inlineStr">
        <is>
          <t>ft</t>
        </is>
      </c>
      <c r="D8" s="75" t="inlineStr"/>
      <c r="E8" s="80" t="inlineStr">
        <is>
          <t>STROKES</t>
        </is>
      </c>
      <c r="F8" s="81" t="inlineStr">
        <is>
          <t>DP PSI</t>
        </is>
      </c>
    </row>
    <row r="9">
      <c r="A9" s="75" t="inlineStr">
        <is>
          <t>Shoe MD / TVD</t>
        </is>
      </c>
      <c r="B9" s="80">
        <f>'Kill Sheet'!$B$13</f>
        <v/>
      </c>
      <c r="C9" s="79" t="inlineStr">
        <is>
          <t>ft</t>
        </is>
      </c>
      <c r="D9" s="75" t="inlineStr"/>
      <c r="E9" s="82">
        <f>'Kill Sheet'!$B95</f>
        <v/>
      </c>
      <c r="F9" s="82">
        <f>'Kill Sheet'!$E95</f>
        <v/>
      </c>
    </row>
    <row r="10">
      <c r="A10" s="75" t="inlineStr">
        <is>
          <t>LOT EMW</t>
        </is>
      </c>
      <c r="B10" s="78">
        <f>'Kill Sheet'!$B$15</f>
        <v/>
      </c>
      <c r="C10" s="79" t="inlineStr">
        <is>
          <t>ppg</t>
        </is>
      </c>
      <c r="E10" s="82">
        <f>'Kill Sheet'!$B96</f>
        <v/>
      </c>
      <c r="F10" s="82">
        <f>'Kill Sheet'!$E96</f>
        <v/>
      </c>
    </row>
    <row r="11">
      <c r="A11" s="75" t="inlineStr">
        <is>
          <t>SCR pressure</t>
        </is>
      </c>
      <c r="B11" s="80">
        <f>'Kill Sheet'!$B$16</f>
        <v/>
      </c>
      <c r="C11" s="79" t="inlineStr">
        <is>
          <t>psi</t>
        </is>
      </c>
      <c r="E11" s="82">
        <f>'Kill Sheet'!$B97</f>
        <v/>
      </c>
      <c r="F11" s="82">
        <f>'Kill Sheet'!$E97</f>
        <v/>
      </c>
    </row>
    <row r="12">
      <c r="A12" s="75" t="inlineStr">
        <is>
          <t>Pump output</t>
        </is>
      </c>
      <c r="B12" s="83">
        <f>'Kill Sheet'!$B$17</f>
        <v/>
      </c>
      <c r="C12" s="79" t="inlineStr">
        <is>
          <t>bbl/stk</t>
        </is>
      </c>
      <c r="E12" s="82">
        <f>'Kill Sheet'!$B98</f>
        <v/>
      </c>
      <c r="F12" s="82">
        <f>'Kill Sheet'!$E98</f>
        <v/>
      </c>
    </row>
    <row r="13">
      <c r="A13" s="75" t="inlineStr">
        <is>
          <t>Kill rate</t>
        </is>
      </c>
      <c r="B13" s="80">
        <f>'Kill Sheet'!$B$18</f>
        <v/>
      </c>
      <c r="C13" s="79" t="inlineStr">
        <is>
          <t>spm</t>
        </is>
      </c>
      <c r="E13" s="82">
        <f>'Kill Sheet'!$B99</f>
        <v/>
      </c>
      <c r="F13" s="82">
        <f>'Kill Sheet'!$E99</f>
        <v/>
      </c>
    </row>
    <row r="14">
      <c r="A14" s="75" t="inlineStr">
        <is>
          <t>MAASP (initial)</t>
        </is>
      </c>
      <c r="B14" s="80">
        <f>'Kill Sheet'!$B$22</f>
        <v/>
      </c>
      <c r="C14" s="79" t="inlineStr">
        <is>
          <t>psi</t>
        </is>
      </c>
      <c r="E14" s="82">
        <f>'Kill Sheet'!$B100</f>
        <v/>
      </c>
      <c r="F14" s="82">
        <f>'Kill Sheet'!$E100</f>
        <v/>
      </c>
    </row>
    <row r="15">
      <c r="E15" s="82">
        <f>'Kill Sheet'!$B101</f>
        <v/>
      </c>
      <c r="F15" s="82">
        <f>'Kill Sheet'!$E101</f>
        <v/>
      </c>
    </row>
    <row r="16">
      <c r="A16" s="77" t="inlineStr">
        <is>
          <t>VOLUMES &amp; STROKES</t>
        </is>
      </c>
      <c r="B16" s="24" t="n"/>
      <c r="C16" s="24" t="n"/>
      <c r="E16" s="82">
        <f>'Kill Sheet'!$B102</f>
        <v/>
      </c>
      <c r="F16" s="82">
        <f>'Kill Sheet'!$E102</f>
        <v/>
      </c>
    </row>
    <row r="17">
      <c r="A17" s="75" t="inlineStr">
        <is>
          <t>Drill string volume</t>
        </is>
      </c>
      <c r="B17" s="78">
        <f>'Kill Sheet'!$B$39</f>
        <v/>
      </c>
      <c r="C17" s="79" t="inlineStr">
        <is>
          <t>bbl</t>
        </is>
      </c>
      <c r="E17" s="82">
        <f>'Kill Sheet'!$B103</f>
        <v/>
      </c>
      <c r="F17" s="82">
        <f>'Kill Sheet'!$E103</f>
        <v/>
      </c>
    </row>
    <row r="18">
      <c r="A18" s="75" t="inlineStr">
        <is>
          <t>Strokes surface to bit</t>
        </is>
      </c>
      <c r="B18" s="80">
        <f>'Kill Sheet'!$B$40</f>
        <v/>
      </c>
      <c r="C18" s="79" t="inlineStr">
        <is>
          <t>stk</t>
        </is>
      </c>
      <c r="E18" s="82">
        <f>'Kill Sheet'!$B104</f>
        <v/>
      </c>
      <c r="F18" s="82">
        <f>'Kill Sheet'!$E104</f>
        <v/>
      </c>
    </row>
    <row r="19">
      <c r="A19" s="75" t="inlineStr">
        <is>
          <t>Annulus volume</t>
        </is>
      </c>
      <c r="B19" s="78">
        <f>'Kill Sheet'!$B$53</f>
        <v/>
      </c>
      <c r="C19" s="79" t="inlineStr">
        <is>
          <t>bbl</t>
        </is>
      </c>
      <c r="E19" s="82">
        <f>'Kill Sheet'!$B105</f>
        <v/>
      </c>
      <c r="F19" s="82">
        <f>'Kill Sheet'!$E105</f>
        <v/>
      </c>
    </row>
    <row r="20">
      <c r="A20" s="75" t="inlineStr">
        <is>
          <t>Strokes bit to surface</t>
        </is>
      </c>
      <c r="B20" s="80">
        <f>'Kill Sheet'!$B$54</f>
        <v/>
      </c>
      <c r="C20" s="79" t="inlineStr">
        <is>
          <t>stk</t>
        </is>
      </c>
      <c r="E20" s="82">
        <f>'Kill Sheet'!$B106</f>
        <v/>
      </c>
      <c r="F20" s="82">
        <f>'Kill Sheet'!$E106</f>
        <v/>
      </c>
    </row>
    <row r="21">
      <c r="A21" s="75" t="inlineStr">
        <is>
          <t>Total circulation</t>
        </is>
      </c>
      <c r="B21" s="80">
        <f>'Kill Sheet'!$B$55</f>
        <v/>
      </c>
      <c r="C21" s="79" t="inlineStr">
        <is>
          <t>stk</t>
        </is>
      </c>
      <c r="E21" s="82">
        <f>'Kill Sheet'!$B107</f>
        <v/>
      </c>
      <c r="F21" s="82">
        <f>'Kill Sheet'!$E107</f>
        <v/>
      </c>
    </row>
    <row r="22">
      <c r="E22" s="82">
        <f>'Kill Sheet'!$B108</f>
        <v/>
      </c>
      <c r="F22" s="82">
        <f>'Kill Sheet'!$E108</f>
        <v/>
      </c>
    </row>
    <row r="23">
      <c r="A23" s="77" t="inlineStr">
        <is>
          <t>KICK DATA</t>
        </is>
      </c>
      <c r="B23" s="24" t="n"/>
      <c r="C23" s="24" t="n"/>
      <c r="E23" s="82">
        <f>'Kill Sheet'!$B109</f>
        <v/>
      </c>
      <c r="F23" s="82">
        <f>'Kill Sheet'!$E109</f>
        <v/>
      </c>
    </row>
    <row r="24">
      <c r="A24" s="75" t="inlineStr">
        <is>
          <t>SIDPP</t>
        </is>
      </c>
      <c r="B24" s="80">
        <f>'Kill Sheet'!$B$62</f>
        <v/>
      </c>
      <c r="C24" s="79" t="inlineStr">
        <is>
          <t>psi</t>
        </is>
      </c>
      <c r="E24" s="82">
        <f>'Kill Sheet'!$B110</f>
        <v/>
      </c>
      <c r="F24" s="82">
        <f>'Kill Sheet'!$E110</f>
        <v/>
      </c>
    </row>
    <row r="25">
      <c r="A25" s="75" t="inlineStr">
        <is>
          <t>SICP</t>
        </is>
      </c>
      <c r="B25" s="80">
        <f>'Kill Sheet'!$B$63</f>
        <v/>
      </c>
      <c r="C25" s="79" t="inlineStr">
        <is>
          <t>psi</t>
        </is>
      </c>
      <c r="E25" s="82">
        <f>'Kill Sheet'!$B111</f>
        <v/>
      </c>
      <c r="F25" s="82">
        <f>'Kill Sheet'!$E111</f>
        <v/>
      </c>
    </row>
    <row r="26">
      <c r="A26" s="75" t="inlineStr">
        <is>
          <t>Pit gain</t>
        </is>
      </c>
      <c r="B26" s="78">
        <f>'Kill Sheet'!$B$64</f>
        <v/>
      </c>
      <c r="C26" s="79" t="inlineStr">
        <is>
          <t>bbl</t>
        </is>
      </c>
      <c r="E26" s="82">
        <f>'Kill Sheet'!$B112</f>
        <v/>
      </c>
      <c r="F26" s="82">
        <f>'Kill Sheet'!$E112</f>
        <v/>
      </c>
    </row>
    <row r="27">
      <c r="E27" s="82">
        <f>'Kill Sheet'!$B113</f>
        <v/>
      </c>
      <c r="F27" s="82">
        <f>'Kill Sheet'!$E113</f>
        <v/>
      </c>
    </row>
    <row r="28">
      <c r="A28" s="77" t="inlineStr">
        <is>
          <t>KILL DATA</t>
        </is>
      </c>
      <c r="B28" s="24" t="n"/>
      <c r="C28" s="24" t="n"/>
      <c r="E28" s="82">
        <f>'Kill Sheet'!$B114</f>
        <v/>
      </c>
      <c r="F28" s="82">
        <f>'Kill Sheet'!$E114</f>
        <v/>
      </c>
    </row>
    <row r="29">
      <c r="A29" s="75" t="inlineStr">
        <is>
          <t>Kill mud weight (rounded up)</t>
        </is>
      </c>
      <c r="B29" s="78">
        <f>'Kill Sheet'!$B$71</f>
        <v/>
      </c>
      <c r="C29" s="79" t="inlineStr">
        <is>
          <t>ppg</t>
        </is>
      </c>
      <c r="E29" s="82">
        <f>'Kill Sheet'!$B115</f>
        <v/>
      </c>
      <c r="F29" s="82">
        <f>'Kill Sheet'!$E115</f>
        <v/>
      </c>
    </row>
    <row r="30">
      <c r="A30" s="75" t="inlineStr">
        <is>
          <t>ICP</t>
        </is>
      </c>
      <c r="B30" s="80">
        <f>'Kill Sheet'!$B$74</f>
        <v/>
      </c>
      <c r="C30" s="79" t="inlineStr">
        <is>
          <t>psi</t>
        </is>
      </c>
      <c r="E30" s="9" t="inlineStr">
        <is>
          <t>Survey-driven schedule</t>
        </is>
      </c>
    </row>
    <row r="31">
      <c r="A31" s="75" t="inlineStr">
        <is>
          <t>FCP</t>
        </is>
      </c>
      <c r="B31" s="80">
        <f>'Kill Sheet'!$B$75</f>
        <v/>
      </c>
      <c r="C31" s="79" t="inlineStr">
        <is>
          <t>psi</t>
        </is>
      </c>
    </row>
    <row r="32">
      <c r="A32" s="75" t="inlineStr">
        <is>
          <t>psi per 100 strokes (rounded down)</t>
        </is>
      </c>
      <c r="B32" s="80">
        <f>'Kill Sheet'!$B$76</f>
        <v/>
      </c>
      <c r="C32" s="79" t="inlineStr">
        <is>
          <t>psi</t>
        </is>
      </c>
    </row>
    <row r="33">
      <c r="A33" s="75" t="inlineStr">
        <is>
          <t>Formation pressure</t>
        </is>
      </c>
      <c r="B33" s="80">
        <f>'Kill Sheet'!$B$79</f>
        <v/>
      </c>
      <c r="C33" s="79" t="inlineStr">
        <is>
          <t>psi</t>
        </is>
      </c>
    </row>
    <row r="34">
      <c r="A34" s="75" t="inlineStr">
        <is>
          <t>MAASP after kill</t>
        </is>
      </c>
      <c r="B34" s="80">
        <f>'Kill Sheet'!$B$90</f>
        <v/>
      </c>
      <c r="C34" s="79" t="inlineStr">
        <is>
          <t>psi</t>
        </is>
      </c>
    </row>
    <row r="37">
      <c r="A37" s="75" t="inlineStr">
        <is>
          <t>Driller: ____________</t>
        </is>
      </c>
      <c r="C37" s="75" t="inlineStr">
        <is>
          <t>Toolpusher: ____________</t>
        </is>
      </c>
      <c r="E37" s="75" t="inlineStr">
        <is>
          <t>Company rep: ____________</t>
        </is>
      </c>
    </row>
    <row r="39">
      <c r="A39" s="9" t="inlineStr">
        <is>
          <t>Generated from the live Kill Sheet - values update automatically. Verify against stabilised shut-in pressures before pumping.</t>
        </is>
      </c>
    </row>
  </sheetData>
  <sheetProtection selectLockedCells="0" selectUnlockedCells="0" sheet="1" objects="0" insertRows="1" insertHyperlinks="1" autoFilter="1" scenarios="0" formatColumns="0" deleteColumns="1" insertColumns="1" pivotTables="1" deleteRows="1" formatCells="1" formatRows="0" sort="1"/>
  <mergeCells count="1">
    <mergeCell ref="A1:F1"/>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pageSetup orientation="portrait" fitToHeight="1" fitToWidth="1"/>
</worksheet>
</file>

<file path=xl/worksheets/sheet9.xml><?xml version="1.0" encoding="utf-8"?>
<worksheet xmlns="http://schemas.openxmlformats.org/spreadsheetml/2006/main">
  <sheetPr>
    <tabColor rgb="002E75B6"/>
    <outlinePr summaryBelow="1" summaryRight="1"/>
    <pageSetUpPr/>
  </sheetPr>
  <dimension ref="A1:F72"/>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Well Control Kill Sheet - Subsea BOP Supplement</t>
        </is>
      </c>
      <c r="B1" s="2" t="n"/>
      <c r="C1" s="2" t="n"/>
      <c r="D1" s="2" t="n"/>
      <c r="E1" s="2" t="n"/>
      <c r="F1" s="2" t="n"/>
    </row>
    <row r="2">
      <c r="A2" s="20" t="inlineStr">
        <is>
          <t>Choke line friction corrections, choke line displacement, riser margin and riser-disconnect hydrostatics (use with the main Kill Sheet)</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Subsea Well Data</t>
        </is>
      </c>
      <c r="B6" s="24" t="n"/>
      <c r="C6" s="24" t="n"/>
      <c r="D6" s="24" t="n"/>
      <c r="E6" s="24" t="n"/>
      <c r="F6" s="24" t="n"/>
    </row>
    <row r="8">
      <c r="A8" s="25" t="inlineStr">
        <is>
          <t>Rig, Water Depth &amp; Choke Line</t>
        </is>
      </c>
      <c r="B8" s="26" t="n"/>
      <c r="C8" s="26" t="n"/>
      <c r="D8" s="26" t="n"/>
      <c r="E8" s="26" t="n"/>
      <c r="F8" s="26" t="n"/>
    </row>
    <row r="9">
      <c r="A9" t="inlineStr"/>
      <c r="F9" s="27" t="inlineStr">
        <is>
          <t>Yellow inputs are subsea-specific for THIS calc (the Well Data master defaults to a land / surface-BOP well). CLF should be MEASURED, not calculated, where possible - record it during slow-rate circulation up the choke line.</t>
        </is>
      </c>
    </row>
    <row r="10">
      <c r="A10" s="28" t="inlineStr">
        <is>
          <t>Water depth</t>
        </is>
      </c>
      <c r="B10" s="31" t="n">
        <v>1500</v>
      </c>
      <c r="C10" s="30" t="inlineStr">
        <is>
          <t>ft</t>
        </is>
      </c>
      <c r="D10" s="32">
        <f>IFERROR($B$10*0.3048,NA())</f>
        <v/>
      </c>
      <c r="E10" s="30" t="inlineStr">
        <is>
          <t>m</t>
        </is>
      </c>
    </row>
    <row r="11">
      <c r="A11" s="28" t="inlineStr">
        <is>
          <t>Air gap (RKB to sea level)</t>
        </is>
      </c>
      <c r="B11" s="31" t="n">
        <v>75</v>
      </c>
      <c r="C11" s="30" t="inlineStr">
        <is>
          <t>ft</t>
        </is>
      </c>
      <c r="D11" s="32">
        <f>IFERROR($B$11*0.3048,NA())</f>
        <v/>
      </c>
      <c r="E11" s="30" t="inlineStr">
        <is>
          <t>m</t>
        </is>
      </c>
    </row>
    <row r="12">
      <c r="A12" s="28" t="inlineStr">
        <is>
          <t>Choke line length</t>
        </is>
      </c>
      <c r="B12" s="31" t="n">
        <v>1650</v>
      </c>
      <c r="C12" s="30" t="inlineStr">
        <is>
          <t>ft</t>
        </is>
      </c>
      <c r="D12" s="32">
        <f>IFERROR($B$12*0.3048,NA())</f>
        <v/>
      </c>
      <c r="E12" s="30" t="inlineStr">
        <is>
          <t>m</t>
        </is>
      </c>
      <c r="F12" s="27" t="inlineStr">
        <is>
          <t>Approx. water depth + air gap + stack height.</t>
        </is>
      </c>
    </row>
    <row r="13">
      <c r="A13" s="28" t="inlineStr">
        <is>
          <t>Choke line ID</t>
        </is>
      </c>
      <c r="B13" s="33" t="n">
        <v>3</v>
      </c>
      <c r="C13" s="30" t="inlineStr">
        <is>
          <t>in</t>
        </is>
      </c>
      <c r="D13" s="34">
        <f>IFERROR($B$13*25.4,NA())</f>
        <v/>
      </c>
      <c r="E13" s="30" t="inlineStr">
        <is>
          <t>mm</t>
        </is>
      </c>
    </row>
    <row r="14">
      <c r="A14" s="28" t="inlineStr">
        <is>
          <t>Choke line friction (CLF) at kill rate</t>
        </is>
      </c>
      <c r="B14" s="31" t="n">
        <v>250</v>
      </c>
      <c r="C14" s="30" t="inlineStr">
        <is>
          <t>psi</t>
        </is>
      </c>
      <c r="D14" s="32">
        <f>IFERROR($B$14*6.894757,NA())</f>
        <v/>
      </c>
      <c r="E14" s="30" t="inlineStr">
        <is>
          <t>kPa</t>
        </is>
      </c>
      <c r="F14" s="27" t="inlineStr">
        <is>
          <t>Measured at the kill rate circulating up the choke line.</t>
        </is>
      </c>
    </row>
    <row r="16">
      <c r="A16" s="25" t="inlineStr">
        <is>
          <t>Linked Well Data</t>
        </is>
      </c>
      <c r="B16" s="26" t="n"/>
      <c r="C16" s="26" t="n"/>
      <c r="D16" s="26" t="n"/>
      <c r="E16" s="26" t="n"/>
      <c r="F16" s="26" t="n"/>
    </row>
    <row r="17">
      <c r="A17" t="inlineStr"/>
      <c r="F17" s="27" t="inlineStr">
        <is>
          <t>Light blue = linked to the Well Data sheet; overwrite locally if this well differs.</t>
        </is>
      </c>
    </row>
    <row r="18">
      <c r="A18" s="28" t="inlineStr">
        <is>
          <t>Current mud weight (OMW)</t>
        </is>
      </c>
      <c r="B18" s="63">
        <f>WD_OMW</f>
        <v/>
      </c>
      <c r="C18" s="30" t="inlineStr">
        <is>
          <t>ppg</t>
        </is>
      </c>
      <c r="D18" s="36">
        <f>IFERROR($B$18*119.8264,NA())</f>
        <v/>
      </c>
      <c r="E18" s="30" t="inlineStr">
        <is>
          <t>kg/m3</t>
        </is>
      </c>
      <c r="F18" s="27" t="inlineStr">
        <is>
          <t>Linked to Well Data sheet - overwrite locally if this well differs.</t>
        </is>
      </c>
    </row>
    <row r="19">
      <c r="A19" s="28" t="inlineStr">
        <is>
          <t>Bit / TD true vertical depth (TVD)</t>
        </is>
      </c>
      <c r="B19" s="64">
        <f>WD_TVD</f>
        <v/>
      </c>
      <c r="C19" s="30" t="inlineStr">
        <is>
          <t>ft</t>
        </is>
      </c>
      <c r="D19" s="32">
        <f>IFERROR($B$19*0.3048,NA())</f>
        <v/>
      </c>
      <c r="E19" s="30" t="inlineStr">
        <is>
          <t>m</t>
        </is>
      </c>
      <c r="F19" s="27" t="inlineStr">
        <is>
          <t>Linked to Well Data sheet - overwrite locally if this well differs.</t>
        </is>
      </c>
    </row>
    <row r="20">
      <c r="A20" s="28" t="inlineStr">
        <is>
          <t>Casing shoe TVD</t>
        </is>
      </c>
      <c r="B20" s="64">
        <f>WD_ShoeTVD</f>
        <v/>
      </c>
      <c r="C20" s="30" t="inlineStr">
        <is>
          <t>ft</t>
        </is>
      </c>
      <c r="D20" s="32">
        <f>IFERROR($B$20*0.3048,NA())</f>
        <v/>
      </c>
      <c r="E20" s="30" t="inlineStr">
        <is>
          <t>m</t>
        </is>
      </c>
      <c r="F20" s="27" t="inlineStr">
        <is>
          <t>Linked to Well Data sheet - overwrite locally if this well differs.</t>
        </is>
      </c>
    </row>
    <row r="21">
      <c r="A21" s="28" t="inlineStr">
        <is>
          <t>LOT / FIT equivalent mud weight</t>
        </is>
      </c>
      <c r="B21" s="63">
        <f>WD_LOT</f>
        <v/>
      </c>
      <c r="C21" s="30" t="inlineStr">
        <is>
          <t>ppg</t>
        </is>
      </c>
      <c r="D21" s="36">
        <f>IFERROR($B$21*119.8264,NA())</f>
        <v/>
      </c>
      <c r="E21" s="30" t="inlineStr">
        <is>
          <t>kg/m3</t>
        </is>
      </c>
      <c r="F21" s="27" t="inlineStr">
        <is>
          <t>Linked to Well Data sheet - overwrite locally if this well differs.</t>
        </is>
      </c>
    </row>
    <row r="22">
      <c r="A22" s="28" t="inlineStr">
        <is>
          <t>Slow circulating rate pressure (SCR)</t>
        </is>
      </c>
      <c r="B22" s="64">
        <f>WD_SCR</f>
        <v/>
      </c>
      <c r="C22" s="30" t="inlineStr">
        <is>
          <t>psi</t>
        </is>
      </c>
      <c r="D22" s="32">
        <f>IFERROR($B$22*6.894757,NA())</f>
        <v/>
      </c>
      <c r="E22" s="30" t="inlineStr">
        <is>
          <t>kPa</t>
        </is>
      </c>
      <c r="F22" s="27" t="inlineStr">
        <is>
          <t>Linked to Well Data sheet - overwrite locally if this well differs.</t>
        </is>
      </c>
    </row>
    <row r="23">
      <c r="A23" s="28" t="inlineStr">
        <is>
          <t>Pump output</t>
        </is>
      </c>
      <c r="B23" s="65">
        <f>WD_SPR</f>
        <v/>
      </c>
      <c r="C23" s="30" t="inlineStr">
        <is>
          <t>bbl/stk</t>
        </is>
      </c>
      <c r="D23" s="39">
        <f>IFERROR($B$23*158.9873,NA())</f>
        <v/>
      </c>
      <c r="E23" s="30" t="inlineStr">
        <is>
          <t>L/stk</t>
        </is>
      </c>
      <c r="F23" s="27" t="inlineStr">
        <is>
          <t>Linked to Well Data sheet - overwrite locally if this well differs.</t>
        </is>
      </c>
    </row>
    <row r="25" ht="20" customHeight="1">
      <c r="A25" s="23" t="inlineStr">
        <is>
          <t>Choke Line</t>
        </is>
      </c>
      <c r="B25" s="24" t="n"/>
      <c r="C25" s="24" t="n"/>
      <c r="D25" s="24" t="n"/>
      <c r="E25" s="24" t="n"/>
      <c r="F25" s="24" t="n"/>
    </row>
    <row r="27">
      <c r="A27" s="25" t="inlineStr">
        <is>
          <t>Choke Line Volume &amp; Displacement</t>
        </is>
      </c>
      <c r="B27" s="26" t="n"/>
      <c r="C27" s="26" t="n"/>
      <c r="D27" s="26" t="n"/>
      <c r="E27" s="26" t="n"/>
      <c r="F27" s="49" t="inlineStr">
        <is>
          <t>Capacity = ID^2 / 1029.4 [bbl/ft];  Strokes = Volume / Pump output</t>
        </is>
      </c>
    </row>
    <row r="28">
      <c r="A28" t="inlineStr"/>
      <c r="F28" s="27" t="inlineStr">
        <is>
          <t>Small ID over a long length: the choke line holds only a few barrels but adds significant friction at kill rate.</t>
        </is>
      </c>
    </row>
    <row r="29">
      <c r="A29" s="28" t="inlineStr">
        <is>
          <t>Choke line capacity</t>
        </is>
      </c>
      <c r="B29" s="52">
        <f>$B$13^2/1029.4</f>
        <v/>
      </c>
      <c r="C29" s="30" t="inlineStr">
        <is>
          <t>bbl/ft</t>
        </is>
      </c>
      <c r="D29" s="53">
        <f>IFERROR($B$29*0.5216119,NA())</f>
        <v/>
      </c>
      <c r="E29" s="30" t="inlineStr">
        <is>
          <t>m3/m</t>
        </is>
      </c>
    </row>
    <row r="30">
      <c r="A30" s="28" t="inlineStr">
        <is>
          <t>Choke line volume</t>
        </is>
      </c>
      <c r="B30" s="51">
        <f>$B$29*$B$12</f>
        <v/>
      </c>
      <c r="C30" s="30" t="inlineStr">
        <is>
          <t>bbl</t>
        </is>
      </c>
      <c r="D30" s="42">
        <f>IFERROR($B$30*0.1589873,NA())</f>
        <v/>
      </c>
      <c r="E30" s="30" t="inlineStr">
        <is>
          <t>m3</t>
        </is>
      </c>
    </row>
    <row r="31">
      <c r="A31" s="28" t="inlineStr">
        <is>
          <t>Strokes to displace choke line</t>
        </is>
      </c>
      <c r="B31" s="59">
        <f>ROUNDUP(ROUND($B$30/$B$23,6),0)</f>
        <v/>
      </c>
      <c r="C31" s="30" t="inlineStr"/>
    </row>
    <row r="33" ht="20" customHeight="1">
      <c r="A33" s="23" t="inlineStr">
        <is>
          <t>CLF-Corrected Pressures</t>
        </is>
      </c>
      <c r="B33" s="24" t="n"/>
      <c r="C33" s="24" t="n"/>
      <c r="D33" s="24" t="n"/>
      <c r="E33" s="24" t="n"/>
      <c r="F33" s="24" t="n"/>
    </row>
    <row r="35">
      <c r="A35" s="25" t="inlineStr">
        <is>
          <t>Shut-In Pressures</t>
        </is>
      </c>
      <c r="B35" s="26" t="n"/>
      <c r="C35" s="26" t="n"/>
      <c r="D35" s="26" t="n"/>
      <c r="E35" s="26" t="n"/>
      <c r="F35" s="26" t="n"/>
    </row>
    <row r="36">
      <c r="A36" t="inlineStr"/>
      <c r="F36" s="27" t="inlineStr">
        <is>
          <t>Allow pressures to stabilise; watch for gas migration on SIDPP.</t>
        </is>
      </c>
    </row>
    <row r="37">
      <c r="A37" s="28" t="inlineStr">
        <is>
          <t>Shut-in drill pipe pressure (SIDPP)</t>
        </is>
      </c>
      <c r="B37" s="31" t="n">
        <v>500</v>
      </c>
      <c r="C37" s="30" t="inlineStr">
        <is>
          <t>psi</t>
        </is>
      </c>
      <c r="D37" s="32">
        <f>IFERROR($B$37*6.894757,NA())</f>
        <v/>
      </c>
      <c r="E37" s="30" t="inlineStr">
        <is>
          <t>kPa</t>
        </is>
      </c>
    </row>
    <row r="38">
      <c r="A38" s="28" t="inlineStr">
        <is>
          <t>Shut-in casing pressure (SICP)</t>
        </is>
      </c>
      <c r="B38" s="31" t="n">
        <v>700</v>
      </c>
      <c r="C38" s="30" t="inlineStr">
        <is>
          <t>psi</t>
        </is>
      </c>
      <c r="D38" s="32">
        <f>IFERROR($B$38*6.894757,NA())</f>
        <v/>
      </c>
      <c r="E38" s="30" t="inlineStr">
        <is>
          <t>kPa</t>
        </is>
      </c>
    </row>
    <row r="40">
      <c r="A40" s="25" t="inlineStr">
        <is>
          <t>MAASP - Static &amp; Dynamic</t>
        </is>
      </c>
      <c r="B40" s="26" t="n"/>
      <c r="C40" s="26" t="n"/>
      <c r="D40" s="26" t="n"/>
      <c r="E40" s="26" t="n"/>
      <c r="F40" s="49" t="inlineStr">
        <is>
          <t>MAASP_static = (LOT_EMW - MW) x 0.052 x Shoe TVD;   MAASP_dynamic = MAASP_static - CLF</t>
        </is>
      </c>
    </row>
    <row r="41">
      <c r="A41" t="inlineStr"/>
      <c r="F41" s="27" t="inlineStr">
        <is>
          <t>With a subsea stack the choke line friction acts on the ANNULUS side: while circulating up the choke line the shoe feels surface choke pressure + CLF, so the allowable surface reading drops by CLF. Rounding rule: maximized values round UP to whole psi.</t>
        </is>
      </c>
    </row>
    <row r="42">
      <c r="A42" s="28" t="inlineStr">
        <is>
          <t>Static MAASP (well shut in)</t>
        </is>
      </c>
      <c r="B42" s="59">
        <f>ROUNDUP(ROUND(($B$21-$B$18)*0.052*$B$20,6),0)</f>
        <v/>
      </c>
      <c r="C42" s="30" t="inlineStr">
        <is>
          <t>psi</t>
        </is>
      </c>
      <c r="D42" s="32">
        <f>IFERROR($B$42*6.894757,NA())</f>
        <v/>
      </c>
      <c r="E42" s="30" t="inlineStr">
        <is>
          <t>kPa</t>
        </is>
      </c>
    </row>
    <row r="43">
      <c r="A43" s="28" t="inlineStr">
        <is>
          <t>Dynamic MAASP (circulating up choke line)</t>
        </is>
      </c>
      <c r="B43" s="59">
        <f>ROUNDUP(ROUND($B$42-$B$14,6),0)</f>
        <v/>
      </c>
      <c r="C43" s="30" t="inlineStr">
        <is>
          <t>psi</t>
        </is>
      </c>
      <c r="D43" s="32">
        <f>IFERROR($B$43*6.894757,NA())</f>
        <v/>
      </c>
      <c r="E43" s="30" t="inlineStr">
        <is>
          <t>kPa</t>
        </is>
      </c>
    </row>
    <row r="45">
      <c r="A45" s="25" t="inlineStr">
        <is>
          <t>Bringing the Pump to Kill Speed</t>
        </is>
      </c>
      <c r="B45" s="26" t="n"/>
      <c r="C45" s="26" t="n"/>
      <c r="D45" s="26" t="n"/>
      <c r="E45" s="26" t="n"/>
      <c r="F45" s="49" t="inlineStr">
        <is>
          <t>ICP = SCR + SIDPP (DP side unchanged);   Choke pressure to hold = SICP - CLF</t>
        </is>
      </c>
    </row>
    <row r="46">
      <c r="A46" t="inlineStr"/>
      <c r="F46" s="27" t="inlineStr">
        <is>
          <t>The DP-side target (ICP) is unchanged by the subsea stack. But as the pump is brought up, CLF develops in the choke line on the annulus side and adds to bottomhole pressure. To keep BHP constant, open the choke so the surface CASING gauge falls to SICP - CLF while bringing the pump to kill speed (rather than holding SICP as on a surface stack).</t>
        </is>
      </c>
    </row>
    <row r="47">
      <c r="A47" s="28" t="inlineStr">
        <is>
          <t>Initial circulating pressure (ICP)</t>
        </is>
      </c>
      <c r="B47" s="59">
        <f>$B$22+$B$37</f>
        <v/>
      </c>
      <c r="C47" s="30" t="inlineStr">
        <is>
          <t>psi</t>
        </is>
      </c>
      <c r="D47" s="32">
        <f>IFERROR($B$47*6.894757,NA())</f>
        <v/>
      </c>
      <c r="E47" s="30" t="inlineStr">
        <is>
          <t>kPa</t>
        </is>
      </c>
      <c r="F47" s="27" t="inlineStr">
        <is>
          <t>SCR should itself be measured circulating up the choke line.</t>
        </is>
      </c>
    </row>
    <row r="48">
      <c r="A48" s="28" t="inlineStr">
        <is>
          <t>Choke pressure while bringing pump up</t>
        </is>
      </c>
      <c r="B48" s="59">
        <f>MAX(0,$B$38-$B$14)</f>
        <v/>
      </c>
      <c r="C48" s="30" t="inlineStr">
        <is>
          <t>psi</t>
        </is>
      </c>
      <c r="D48" s="32">
        <f>IFERROR($B$48*6.894757,NA())</f>
        <v/>
      </c>
      <c r="E48" s="30" t="inlineStr">
        <is>
          <t>kPa</t>
        </is>
      </c>
    </row>
    <row r="50" ht="20" customHeight="1">
      <c r="A50" s="23" t="inlineStr">
        <is>
          <t>Kill Mud &amp; Gas at Surface</t>
        </is>
      </c>
      <c r="B50" s="24" t="n"/>
      <c r="C50" s="24" t="n"/>
      <c r="D50" s="24" t="n"/>
      <c r="E50" s="24" t="n"/>
      <c r="F50" s="24" t="n"/>
    </row>
    <row r="52">
      <c r="A52" s="25" t="inlineStr">
        <is>
          <t>Kill Mud Weight (KMW)</t>
        </is>
      </c>
      <c r="B52" s="26" t="n"/>
      <c r="C52" s="26" t="n"/>
      <c r="D52" s="26" t="n"/>
      <c r="E52" s="26" t="n"/>
      <c r="F52" s="49" t="inlineStr">
        <is>
          <t>KMW = OMW + SIDPP / (0.052 x TVD)</t>
        </is>
      </c>
    </row>
    <row r="53">
      <c r="A53" t="inlineStr"/>
      <c r="F53" s="27" t="inlineStr">
        <is>
          <t>TVD, never MD. Rounding rule: kill density always rounds UP to the nearest 0.1 ppg.</t>
        </is>
      </c>
    </row>
    <row r="54">
      <c r="A54" s="28" t="inlineStr">
        <is>
          <t>Kill mud weight (exact)</t>
        </is>
      </c>
      <c r="B54" s="50">
        <f>$B$18+$B$37/(0.052*$B$19)</f>
        <v/>
      </c>
      <c r="C54" s="30" t="inlineStr">
        <is>
          <t>ppg</t>
        </is>
      </c>
      <c r="D54" s="34">
        <f>IFERROR($B$54*119.8264,NA())</f>
        <v/>
      </c>
      <c r="E54" s="30" t="inlineStr">
        <is>
          <t>kg/m3</t>
        </is>
      </c>
    </row>
    <row r="55">
      <c r="A55" s="28" t="inlineStr">
        <is>
          <t>Kill mud weight (rounded up)</t>
        </is>
      </c>
      <c r="B55" s="54">
        <f>ROUNDUP(ROUND($B$54*10,6),0)/10</f>
        <v/>
      </c>
      <c r="C55" s="30" t="inlineStr">
        <is>
          <t>ppg</t>
        </is>
      </c>
      <c r="D55" s="40">
        <f>IFERROR($B$55*119.8264,NA())</f>
        <v/>
      </c>
      <c r="E55" s="30" t="inlineStr">
        <is>
          <t>kg/m3</t>
        </is>
      </c>
    </row>
    <row r="56">
      <c r="A56" s="27" t="inlineStr">
        <is>
          <t>Gas in the choke line</t>
        </is>
      </c>
      <c r="F56" s="27" t="inlineStr">
        <is>
          <t>Gas circulated up the narrow choke line expands very rapidly near surface - expect sudden unloading and fast choke response late in the circulation. Keep the choke line displaced to kill mud between circulations, or take returns up the kill line, and slow the pump if the choke cannot keep up.</t>
        </is>
      </c>
    </row>
    <row r="58" ht="20" customHeight="1">
      <c r="A58" s="23" t="inlineStr">
        <is>
          <t>Riser Margin</t>
        </is>
      </c>
      <c r="B58" s="24" t="n"/>
      <c r="C58" s="24" t="n"/>
      <c r="D58" s="24" t="n"/>
      <c r="E58" s="24" t="n"/>
      <c r="F58" s="24" t="n"/>
    </row>
    <row r="60">
      <c r="A60" s="25" t="inlineStr">
        <is>
          <t>Riser Margin Mud Weight</t>
        </is>
      </c>
      <c r="B60" s="26" t="n"/>
      <c r="C60" s="26" t="n"/>
      <c r="D60" s="26" t="n"/>
      <c r="E60" s="26" t="n"/>
      <c r="F60" s="49" t="inlineStr">
        <is>
          <t>MW_rm = (0.052 x MW x TVD - SW x WD) / (0.052 x (TVD - WD - AG))</t>
        </is>
      </c>
    </row>
    <row r="61">
      <c r="A61" t="inlineStr"/>
      <c r="F61" s="27" t="inlineStr">
        <is>
          <t>Mud weight that keeps BHP unchanged if the riser is disconnected and seawater stands above the mudline. In deep water the required increase often exceeds the fracture gradient - full riser margin is frequently impractical.</t>
        </is>
      </c>
    </row>
    <row r="62">
      <c r="A62" s="28" t="inlineStr">
        <is>
          <t>Seawater gradient (SW)</t>
        </is>
      </c>
      <c r="B62" s="84">
        <f>WD_SWGrad</f>
        <v/>
      </c>
      <c r="C62" s="30" t="inlineStr">
        <is>
          <t>psi/ft</t>
        </is>
      </c>
      <c r="D62" s="34">
        <f>IFERROR($B$62*22.62059,NA())</f>
        <v/>
      </c>
      <c r="E62" s="30" t="inlineStr">
        <is>
          <t>kPa/m</t>
        </is>
      </c>
      <c r="F62" s="27" t="inlineStr">
        <is>
          <t>Linked to Well Data sheet - overwrite locally if this well differs.</t>
        </is>
      </c>
    </row>
    <row r="63">
      <c r="A63" s="28" t="inlineStr">
        <is>
          <t>Riser margin mud weight (MW_rm)</t>
        </is>
      </c>
      <c r="B63" s="51">
        <f>(0.052*$B$18*$B$19-$B$62*$B$10)/(0.052*($B$19-$B$10-$B$11))</f>
        <v/>
      </c>
      <c r="C63" s="30" t="inlineStr">
        <is>
          <t>ppg</t>
        </is>
      </c>
      <c r="D63" s="42">
        <f>IFERROR($B$63*119.8264,NA())</f>
        <v/>
      </c>
      <c r="E63" s="30" t="inlineStr">
        <is>
          <t>kg/m3</t>
        </is>
      </c>
    </row>
    <row r="64">
      <c r="A64" s="28" t="inlineStr">
        <is>
          <t>Margin over current MW</t>
        </is>
      </c>
      <c r="B64" s="51">
        <f>$B$63-$B$18</f>
        <v/>
      </c>
      <c r="C64" s="30" t="inlineStr">
        <is>
          <t>ppg</t>
        </is>
      </c>
      <c r="D64" s="42">
        <f>IFERROR($B$64*119.8264,NA())</f>
        <v/>
      </c>
      <c r="E64" s="30" t="inlineStr">
        <is>
          <t>kg/m3</t>
        </is>
      </c>
      <c r="F64" s="27" t="inlineStr">
        <is>
          <t>Extra density needed for full riser margin.</t>
        </is>
      </c>
    </row>
    <row r="66" ht="20" customHeight="1">
      <c r="A66" s="23" t="inlineStr">
        <is>
          <t>Shut-In With Riser Disconnected</t>
        </is>
      </c>
      <c r="B66" s="24" t="n"/>
      <c r="C66" s="24" t="n"/>
      <c r="D66" s="24" t="n"/>
      <c r="E66" s="24" t="n"/>
      <c r="F66" s="24" t="n"/>
    </row>
    <row r="68">
      <c r="A68" s="25" t="inlineStr">
        <is>
          <t>BHP After Disconnect</t>
        </is>
      </c>
      <c r="B68" s="26" t="n"/>
      <c r="C68" s="26" t="n"/>
      <c r="D68" s="26" t="n"/>
      <c r="E68" s="26" t="n"/>
      <c r="F68" s="49" t="inlineStr">
        <is>
          <t>BHP = SW x WD + 0.052 x MW x (TVD - WD - AG)</t>
        </is>
      </c>
    </row>
    <row r="69">
      <c r="A69" t="inlineStr"/>
      <c r="F69" s="27" t="inlineStr">
        <is>
          <t>Seawater column to the mudline, current mud below the BOP. Compares against formation pressure to show whether the well stays overbalanced on the mud alone.</t>
        </is>
      </c>
    </row>
    <row r="70">
      <c r="A70" s="28" t="inlineStr">
        <is>
          <t>Reservoir / formation pressure</t>
        </is>
      </c>
      <c r="B70" s="64">
        <f>WD_ResP</f>
        <v/>
      </c>
      <c r="C70" s="30" t="inlineStr">
        <is>
          <t>psi</t>
        </is>
      </c>
      <c r="D70" s="32">
        <f>IFERROR($B$70*6.894757,NA())</f>
        <v/>
      </c>
      <c r="E70" s="30" t="inlineStr">
        <is>
          <t>kPa</t>
        </is>
      </c>
      <c r="F70" s="27" t="inlineStr">
        <is>
          <t>Linked to Well Data sheet - overwrite locally if this well differs.</t>
        </is>
      </c>
    </row>
    <row r="71">
      <c r="A71" s="28" t="inlineStr">
        <is>
          <t>BHP with seawater to mudline</t>
        </is>
      </c>
      <c r="B71" s="59">
        <f>$B$62*$B$10+0.052*$B$18*($B$19-$B$10-$B$11)</f>
        <v/>
      </c>
      <c r="C71" s="30" t="inlineStr">
        <is>
          <t>psi</t>
        </is>
      </c>
      <c r="D71" s="32">
        <f>IFERROR($B$71*6.894757,NA())</f>
        <v/>
      </c>
      <c r="E71" s="30" t="inlineStr">
        <is>
          <t>kPa</t>
        </is>
      </c>
    </row>
    <row r="72">
      <c r="A72" s="28" t="inlineStr">
        <is>
          <t>Status vs formation pressure</t>
        </is>
      </c>
      <c r="B72" s="72">
        <f>IF($B$71&gt;=$B$70,"OK - overbalanced after disconnect","CHECK: underbalanced after disconnect - well can flow at the mudline")</f>
        <v/>
      </c>
      <c r="C72" s="30" t="inlineStr"/>
    </row>
  </sheetData>
  <sheetProtection selectLockedCells="0" selectUnlockedCells="0" sheet="1" objects="0" insertRows="1" insertHyperlinks="1" autoFilter="1" scenarios="0" formatColumns="0" deleteColumns="1" insertColumns="1" pivotTables="1" deleteRows="1" formatCells="1" formatRows="0" sort="1"/>
  <mergeCells count="8">
    <mergeCell ref="A2:F2"/>
    <mergeCell ref="A33:F33"/>
    <mergeCell ref="A66:F66"/>
    <mergeCell ref="A1:F1"/>
    <mergeCell ref="A6:F6"/>
    <mergeCell ref="A58:F58"/>
    <mergeCell ref="A50:F50"/>
    <mergeCell ref="A25:F25"/>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A1:F105"/>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Well Control</t>
        </is>
      </c>
      <c r="B1" s="2" t="n"/>
      <c r="C1" s="2" t="n"/>
      <c r="D1" s="2" t="n"/>
      <c r="E1" s="2" t="n"/>
      <c r="F1" s="2" t="n"/>
    </row>
    <row r="2">
      <c r="A2" s="20" t="inlineStr">
        <is>
          <t>Kick tolerance, MAASP, trip/swab/riser margins, gas behavior, kill weight and volumetric method</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Kick Tolerance &amp; MAASP</t>
        </is>
      </c>
      <c r="B6" s="24" t="n"/>
      <c r="C6" s="24" t="n"/>
      <c r="D6" s="24" t="n"/>
      <c r="E6" s="24" t="n"/>
      <c r="F6" s="24" t="n"/>
    </row>
    <row r="8">
      <c r="A8" s="25" t="inlineStr">
        <is>
          <t>MAASP (Maximum Allowable Annular Surface Pressure)</t>
        </is>
      </c>
      <c r="B8" s="26" t="n"/>
      <c r="C8" s="26" t="n"/>
      <c r="D8" s="26" t="n"/>
      <c r="E8" s="26" t="n"/>
      <c r="F8" s="49" t="inlineStr">
        <is>
          <t>MAASP [psi] = 0.052 x (FG - MW) x TVD_shoe</t>
        </is>
      </c>
    </row>
    <row r="9">
      <c r="A9" t="inlineStr"/>
      <c r="F9" s="27" t="inlineStr">
        <is>
          <t>FG = fracture gradient at shoe from leak-off test, expressed as EMW. Recalculate whenever mud weight changes.</t>
        </is>
      </c>
    </row>
    <row r="10">
      <c r="A10" s="28" t="inlineStr">
        <is>
          <t>Fracture gradient at shoe (FG)</t>
        </is>
      </c>
      <c r="B10" s="35" t="n">
        <v>14.5</v>
      </c>
      <c r="C10" s="30" t="inlineStr">
        <is>
          <t>ppg</t>
        </is>
      </c>
      <c r="D10" s="36">
        <f>IFERROR($B$10*119.8264,NA())</f>
        <v/>
      </c>
      <c r="E10" s="30" t="inlineStr">
        <is>
          <t>kg/m3</t>
        </is>
      </c>
      <c r="F10" s="27" t="inlineStr">
        <is>
          <t>From LOT/FIT, as equivalent mud weight.</t>
        </is>
      </c>
    </row>
    <row r="11">
      <c r="A11" s="28" t="inlineStr">
        <is>
          <t>Current mud weight (MW)</t>
        </is>
      </c>
      <c r="B11" s="35" t="n">
        <v>12.5</v>
      </c>
      <c r="C11" s="30" t="inlineStr">
        <is>
          <t>ppg</t>
        </is>
      </c>
      <c r="D11" s="36">
        <f>IFERROR($B$11*119.8264,NA())</f>
        <v/>
      </c>
      <c r="E11" s="30" t="inlineStr">
        <is>
          <t>kg/m3</t>
        </is>
      </c>
    </row>
    <row r="12">
      <c r="A12" s="28" t="inlineStr">
        <is>
          <t>Shoe TVD</t>
        </is>
      </c>
      <c r="B12" s="31" t="n">
        <v>5000</v>
      </c>
      <c r="C12" s="30" t="inlineStr">
        <is>
          <t>ft</t>
        </is>
      </c>
      <c r="D12" s="32">
        <f>IFERROR($B$12*0.3048,NA())</f>
        <v/>
      </c>
      <c r="E12" s="30" t="inlineStr">
        <is>
          <t>m</t>
        </is>
      </c>
    </row>
    <row r="13">
      <c r="A13" s="28" t="inlineStr">
        <is>
          <t>MAASP</t>
        </is>
      </c>
      <c r="B13" s="59">
        <f>ROUNDUP(ROUND(0.052*($B$10-$B$11)*$B$12,6),0)</f>
        <v/>
      </c>
      <c r="C13" s="30" t="inlineStr">
        <is>
          <t>psi</t>
        </is>
      </c>
      <c r="D13" s="32">
        <f>IFERROR($B$13*6.894757,NA())</f>
        <v/>
      </c>
      <c r="E13" s="30" t="inlineStr">
        <is>
          <t>kPa</t>
        </is>
      </c>
      <c r="F13" s="27" t="inlineStr">
        <is>
          <t>Rounding rule: maximized values round UP to whole psi (1000.1 -&gt; 1001).</t>
        </is>
      </c>
    </row>
    <row r="15">
      <c r="A15" s="25" t="inlineStr">
        <is>
          <t>Kick Tolerance (Volume Basis, Gas at Shoe)</t>
        </is>
      </c>
      <c r="B15" s="26" t="n"/>
      <c r="C15" s="26" t="n"/>
      <c r="D15" s="26" t="n"/>
      <c r="E15" s="26" t="n"/>
      <c r="F15" s="49" t="inlineStr">
        <is>
          <t>H_max = [P_frac - P_form + 0.052 x MW x (TVD - TVD_shoe)] / (0.052 x MW - G_gas);  V_shoe = H_max x C_ann;  KT [bbl] = V_shoe x P_frac / P_form</t>
        </is>
      </c>
    </row>
    <row r="16">
      <c r="A16" t="inlineStr"/>
      <c r="F16" s="27" t="inlineStr">
        <is>
          <t>Single gas bubble, no gas cut above it, Boyle expansion from bottom to shoe (isothermal, Z ignored). KT is the largest influx at bottomhole conditions that can be circulated out without breaking down the shoe.</t>
        </is>
      </c>
    </row>
    <row r="17">
      <c r="A17" s="28" t="inlineStr">
        <is>
          <t>Fracture gradient at shoe (FG)</t>
        </is>
      </c>
      <c r="B17" s="35" t="n">
        <v>14.5</v>
      </c>
      <c r="C17" s="30" t="inlineStr">
        <is>
          <t>ppg</t>
        </is>
      </c>
      <c r="D17" s="36">
        <f>IFERROR($B$17*119.8264,NA())</f>
        <v/>
      </c>
      <c r="E17" s="30" t="inlineStr">
        <is>
          <t>kg/m3</t>
        </is>
      </c>
    </row>
    <row r="18">
      <c r="A18" s="28" t="inlineStr">
        <is>
          <t>Mud weight (MW)</t>
        </is>
      </c>
      <c r="B18" s="35" t="n">
        <v>12.5</v>
      </c>
      <c r="C18" s="30" t="inlineStr">
        <is>
          <t>ppg</t>
        </is>
      </c>
      <c r="D18" s="36">
        <f>IFERROR($B$18*119.8264,NA())</f>
        <v/>
      </c>
      <c r="E18" s="30" t="inlineStr">
        <is>
          <t>kg/m3</t>
        </is>
      </c>
    </row>
    <row r="19">
      <c r="A19" s="28" t="inlineStr">
        <is>
          <t>Shoe TVD</t>
        </is>
      </c>
      <c r="B19" s="31" t="n">
        <v>5000</v>
      </c>
      <c r="C19" s="30" t="inlineStr">
        <is>
          <t>ft</t>
        </is>
      </c>
      <c r="D19" s="32">
        <f>IFERROR($B$19*0.3048,NA())</f>
        <v/>
      </c>
      <c r="E19" s="30" t="inlineStr">
        <is>
          <t>m</t>
        </is>
      </c>
    </row>
    <row r="20">
      <c r="A20" s="28" t="inlineStr">
        <is>
          <t>Well TVD</t>
        </is>
      </c>
      <c r="B20" s="31" t="n">
        <v>10000</v>
      </c>
      <c r="C20" s="30" t="inlineStr">
        <is>
          <t>ft</t>
        </is>
      </c>
      <c r="D20" s="32">
        <f>IFERROR($B$20*0.3048,NA())</f>
        <v/>
      </c>
      <c r="E20" s="30" t="inlineStr">
        <is>
          <t>m</t>
        </is>
      </c>
    </row>
    <row r="21">
      <c r="A21" s="28" t="inlineStr">
        <is>
          <t>Design SIDPP (kick overpressure)</t>
        </is>
      </c>
      <c r="B21" s="31" t="n">
        <v>350</v>
      </c>
      <c r="C21" s="30" t="inlineStr">
        <is>
          <t>psi</t>
        </is>
      </c>
      <c r="D21" s="32">
        <f>IFERROR($B$21*6.894757,NA())</f>
        <v/>
      </c>
      <c r="E21" s="30" t="inlineStr">
        <is>
          <t>kPa</t>
        </is>
      </c>
      <c r="F21" s="27" t="inlineStr">
        <is>
          <t>Anticipated shut-in drill pipe pressure for the design kick.</t>
        </is>
      </c>
    </row>
    <row r="22">
      <c r="A22" s="28" t="inlineStr">
        <is>
          <t>Gas gradient</t>
        </is>
      </c>
      <c r="B22" s="33" t="n">
        <v>0.1</v>
      </c>
      <c r="C22" s="30" t="inlineStr">
        <is>
          <t>psi/ft</t>
        </is>
      </c>
      <c r="D22" s="34">
        <f>IFERROR($B$22*22.62059,NA())</f>
        <v/>
      </c>
      <c r="E22" s="30" t="inlineStr">
        <is>
          <t>kPa/m</t>
        </is>
      </c>
      <c r="F22" s="27" t="inlineStr">
        <is>
          <t>0.10-0.15 psi/ft typical for gas.</t>
        </is>
      </c>
    </row>
    <row r="23">
      <c r="A23" s="28" t="inlineStr">
        <is>
          <t>Annular capacity at shoe/BHA</t>
        </is>
      </c>
      <c r="B23" s="62" t="n">
        <v>0.0459</v>
      </c>
      <c r="C23" s="30" t="inlineStr">
        <is>
          <t>bbl/ft</t>
        </is>
      </c>
      <c r="D23" s="53">
        <f>IFERROR($B$23*0.5216119,NA())</f>
        <v/>
      </c>
      <c r="E23" s="30" t="inlineStr">
        <is>
          <t>m3/m</t>
        </is>
      </c>
    </row>
    <row r="24">
      <c r="A24" s="28" t="inlineStr">
        <is>
          <t>Fracture pressure at shoe</t>
        </is>
      </c>
      <c r="B24" s="59">
        <f>0.052*$B$17*$B$19</f>
        <v/>
      </c>
      <c r="C24" s="30" t="inlineStr">
        <is>
          <t>psi</t>
        </is>
      </c>
      <c r="D24" s="32">
        <f>IFERROR($B$24*6.894757,NA())</f>
        <v/>
      </c>
      <c r="E24" s="30" t="inlineStr">
        <is>
          <t>kPa</t>
        </is>
      </c>
    </row>
    <row r="25">
      <c r="A25" s="28" t="inlineStr">
        <is>
          <t>Formation (kick) pressure</t>
        </is>
      </c>
      <c r="B25" s="59">
        <f>0.052*$B$18*$B$20+$B$21</f>
        <v/>
      </c>
      <c r="C25" s="30" t="inlineStr">
        <is>
          <t>psi</t>
        </is>
      </c>
      <c r="D25" s="32">
        <f>IFERROR($B$25*6.894757,NA())</f>
        <v/>
      </c>
      <c r="E25" s="30" t="inlineStr">
        <is>
          <t>kPa</t>
        </is>
      </c>
    </row>
    <row r="26">
      <c r="A26" s="28" t="inlineStr">
        <is>
          <t>Max influx height at shoe</t>
        </is>
      </c>
      <c r="B26" s="59">
        <f>MAX(0,($B$24-$B$25+0.052*$B$18*($B$20-$B$19))/(0.052*$B$18-$B$22))</f>
        <v/>
      </c>
      <c r="C26" s="30" t="inlineStr">
        <is>
          <t>ft</t>
        </is>
      </c>
      <c r="D26" s="32">
        <f>IFERROR($B$26*0.3048,NA())</f>
        <v/>
      </c>
      <c r="E26" s="30" t="inlineStr">
        <is>
          <t>m</t>
        </is>
      </c>
    </row>
    <row r="27">
      <c r="A27" s="28" t="inlineStr">
        <is>
          <t>Max influx volume at shoe</t>
        </is>
      </c>
      <c r="B27" s="54">
        <f>$B$26*$B$23</f>
        <v/>
      </c>
      <c r="C27" s="30" t="inlineStr">
        <is>
          <t>bbl</t>
        </is>
      </c>
      <c r="D27" s="40">
        <f>IFERROR($B$27*0.1589873,NA())</f>
        <v/>
      </c>
      <c r="E27" s="30" t="inlineStr">
        <is>
          <t>m3</t>
        </is>
      </c>
    </row>
    <row r="28">
      <c r="A28" s="28" t="inlineStr">
        <is>
          <t>Kick tolerance (at bottomhole)</t>
        </is>
      </c>
      <c r="B28" s="54">
        <f>$B$27*$B$24/$B$25</f>
        <v/>
      </c>
      <c r="C28" s="30" t="inlineStr">
        <is>
          <t>bbl</t>
        </is>
      </c>
      <c r="D28" s="40">
        <f>IFERROR($B$28*0.1589873,NA())</f>
        <v/>
      </c>
      <c r="E28" s="30" t="inlineStr">
        <is>
          <t>m3</t>
        </is>
      </c>
      <c r="F28" s="27" t="inlineStr">
        <is>
          <t>Compare with realistic kick detection volume; if smaller, set casing or raise MW policy.</t>
        </is>
      </c>
    </row>
    <row r="30" ht="20" customHeight="1">
      <c r="A30" s="23" t="inlineStr">
        <is>
          <t>Margins</t>
        </is>
      </c>
      <c r="B30" s="24" t="n"/>
      <c r="C30" s="24" t="n"/>
      <c r="D30" s="24" t="n"/>
      <c r="E30" s="24" t="n"/>
      <c r="F30" s="24" t="n"/>
    </row>
    <row r="32">
      <c r="A32" s="25" t="inlineStr">
        <is>
          <t>Trip Margin / Swab Margin</t>
        </is>
      </c>
      <c r="B32" s="26" t="n"/>
      <c r="C32" s="26" t="n"/>
      <c r="D32" s="26" t="n"/>
      <c r="E32" s="26" t="n"/>
      <c r="F32" s="49" t="inlineStr">
        <is>
          <t>TM [ppg] = YP / (11.7 x (Dh - Dp))</t>
        </is>
      </c>
    </row>
    <row r="33">
      <c r="A33" t="inlineStr"/>
      <c r="F33" s="27" t="inlineStr">
        <is>
          <t>Overbalance added to cover swab pressures when pulling out (trip margin) or, equally, the swab reduction expected running in. Field approximation from yield point.</t>
        </is>
      </c>
    </row>
    <row r="34">
      <c r="A34" s="28" t="inlineStr">
        <is>
          <t>Mud yield point (YP)</t>
        </is>
      </c>
      <c r="B34" s="37" t="n">
        <v>12</v>
      </c>
      <c r="C34" s="30" t="inlineStr"/>
      <c r="F34" s="27" t="inlineStr">
        <is>
          <t>lb/100 ft2 from viscometer.</t>
        </is>
      </c>
    </row>
    <row r="35">
      <c r="A35" s="28" t="inlineStr">
        <is>
          <t>Hole diameter (Dh)</t>
        </is>
      </c>
      <c r="B35" s="33" t="n">
        <v>8.5</v>
      </c>
      <c r="C35" s="30" t="inlineStr">
        <is>
          <t>in</t>
        </is>
      </c>
      <c r="D35" s="34">
        <f>IFERROR($B$35*25.4,NA())</f>
        <v/>
      </c>
      <c r="E35" s="30" t="inlineStr">
        <is>
          <t>mm</t>
        </is>
      </c>
    </row>
    <row r="36">
      <c r="A36" s="28" t="inlineStr">
        <is>
          <t>Pipe outside diameter (Dp)</t>
        </is>
      </c>
      <c r="B36" s="33" t="n">
        <v>5</v>
      </c>
      <c r="C36" s="30" t="inlineStr">
        <is>
          <t>in</t>
        </is>
      </c>
      <c r="D36" s="34">
        <f>IFERROR($B$36*25.4,NA())</f>
        <v/>
      </c>
      <c r="E36" s="30" t="inlineStr">
        <is>
          <t>mm</t>
        </is>
      </c>
    </row>
    <row r="37">
      <c r="A37" s="28" t="inlineStr">
        <is>
          <t>Well TVD</t>
        </is>
      </c>
      <c r="B37" s="31" t="n">
        <v>10000</v>
      </c>
      <c r="C37" s="30" t="inlineStr">
        <is>
          <t>ft</t>
        </is>
      </c>
      <c r="D37" s="32">
        <f>IFERROR($B$37*0.3048,NA())</f>
        <v/>
      </c>
      <c r="E37" s="30" t="inlineStr">
        <is>
          <t>m</t>
        </is>
      </c>
    </row>
    <row r="38">
      <c r="A38" s="28" t="inlineStr">
        <is>
          <t>Trip / swab margin</t>
        </is>
      </c>
      <c r="B38" s="51">
        <f>$B$34/(11.7*($B$35-$B$36))</f>
        <v/>
      </c>
      <c r="C38" s="30" t="inlineStr">
        <is>
          <t>ppg</t>
        </is>
      </c>
      <c r="D38" s="42">
        <f>IFERROR($B$38*119.8264,NA())</f>
        <v/>
      </c>
      <c r="E38" s="30" t="inlineStr">
        <is>
          <t>kg/m3</t>
        </is>
      </c>
    </row>
    <row r="39">
      <c r="A39" s="28" t="inlineStr">
        <is>
          <t>Equivalent overbalance</t>
        </is>
      </c>
      <c r="B39" s="59">
        <f>0.052*$B$38*$B$37</f>
        <v/>
      </c>
      <c r="C39" s="30" t="inlineStr">
        <is>
          <t>psi</t>
        </is>
      </c>
      <c r="D39" s="32">
        <f>IFERROR($B$39*6.894757,NA())</f>
        <v/>
      </c>
      <c r="E39" s="30" t="inlineStr">
        <is>
          <t>kPa</t>
        </is>
      </c>
    </row>
    <row r="41">
      <c r="A41" s="25" t="inlineStr">
        <is>
          <t>Riser Margin (Floating Rigs)</t>
        </is>
      </c>
      <c r="B41" s="26" t="n"/>
      <c r="C41" s="26" t="n"/>
      <c r="D41" s="26" t="n"/>
      <c r="E41" s="26" t="n"/>
      <c r="F41" s="49" t="inlineStr">
        <is>
          <t>MW_req = (MW x TVD - MW_sw x WD) / (TVD - WD - AG);   RM = MW_req - MW</t>
        </is>
      </c>
    </row>
    <row r="42">
      <c r="A42" t="inlineStr"/>
      <c r="F42" s="27" t="inlineStr">
        <is>
          <t>Mud weight increment so that, after riser disconnect, seawater above the mudline still balances bottomhole pressure. AG = air gap (RKB to sea level). Often impractical in deep water.</t>
        </is>
      </c>
    </row>
    <row r="43">
      <c r="A43" s="28" t="inlineStr">
        <is>
          <t>Current mud weight (MW)</t>
        </is>
      </c>
      <c r="B43" s="35" t="n">
        <v>12.5</v>
      </c>
      <c r="C43" s="30" t="inlineStr">
        <is>
          <t>ppg</t>
        </is>
      </c>
      <c r="D43" s="36">
        <f>IFERROR($B$43*119.8264,NA())</f>
        <v/>
      </c>
      <c r="E43" s="30" t="inlineStr">
        <is>
          <t>kg/m3</t>
        </is>
      </c>
    </row>
    <row r="44">
      <c r="A44" s="28" t="inlineStr">
        <is>
          <t>Well TVD (from RKB)</t>
        </is>
      </c>
      <c r="B44" s="31" t="n">
        <v>10000</v>
      </c>
      <c r="C44" s="30" t="inlineStr">
        <is>
          <t>ft</t>
        </is>
      </c>
      <c r="D44" s="32">
        <f>IFERROR($B$44*0.3048,NA())</f>
        <v/>
      </c>
      <c r="E44" s="30" t="inlineStr">
        <is>
          <t>m</t>
        </is>
      </c>
    </row>
    <row r="45">
      <c r="A45" s="28" t="inlineStr">
        <is>
          <t>Water depth (WD)</t>
        </is>
      </c>
      <c r="B45" s="31" t="n">
        <v>3000</v>
      </c>
      <c r="C45" s="30" t="inlineStr">
        <is>
          <t>ft</t>
        </is>
      </c>
      <c r="D45" s="32">
        <f>IFERROR($B$45*0.3048,NA())</f>
        <v/>
      </c>
      <c r="E45" s="30" t="inlineStr">
        <is>
          <t>m</t>
        </is>
      </c>
    </row>
    <row r="46">
      <c r="A46" s="28" t="inlineStr">
        <is>
          <t>Air gap (AG)</t>
        </is>
      </c>
      <c r="B46" s="31" t="n">
        <v>75</v>
      </c>
      <c r="C46" s="30" t="inlineStr">
        <is>
          <t>ft</t>
        </is>
      </c>
      <c r="D46" s="32">
        <f>IFERROR($B$46*0.3048,NA())</f>
        <v/>
      </c>
      <c r="E46" s="30" t="inlineStr">
        <is>
          <t>m</t>
        </is>
      </c>
    </row>
    <row r="47">
      <c r="A47" s="28" t="inlineStr">
        <is>
          <t>Seawater density</t>
        </is>
      </c>
      <c r="B47" s="35" t="n">
        <v>8.550000000000001</v>
      </c>
      <c r="C47" s="30" t="inlineStr">
        <is>
          <t>ppg</t>
        </is>
      </c>
      <c r="D47" s="36">
        <f>IFERROR($B$47*119.8264,NA())</f>
        <v/>
      </c>
      <c r="E47" s="30" t="inlineStr">
        <is>
          <t>kg/m3</t>
        </is>
      </c>
    </row>
    <row r="48">
      <c r="A48" s="28" t="inlineStr">
        <is>
          <t>Required mud weight after disconnect</t>
        </is>
      </c>
      <c r="B48" s="51">
        <f>($B$43*$B$44-$B$47*$B$45)/($B$44-$B$45-$B$46)</f>
        <v/>
      </c>
      <c r="C48" s="30" t="inlineStr">
        <is>
          <t>ppg</t>
        </is>
      </c>
      <c r="D48" s="42">
        <f>IFERROR($B$48*119.8264,NA())</f>
        <v/>
      </c>
      <c r="E48" s="30" t="inlineStr">
        <is>
          <t>kg/m3</t>
        </is>
      </c>
    </row>
    <row r="49">
      <c r="A49" s="28" t="inlineStr">
        <is>
          <t>Riser margin</t>
        </is>
      </c>
      <c r="B49" s="51">
        <f>$B$48-$B$43</f>
        <v/>
      </c>
      <c r="C49" s="30" t="inlineStr">
        <is>
          <t>ppg</t>
        </is>
      </c>
      <c r="D49" s="42">
        <f>IFERROR($B$49*119.8264,NA())</f>
        <v/>
      </c>
      <c r="E49" s="30" t="inlineStr">
        <is>
          <t>kg/m3</t>
        </is>
      </c>
    </row>
    <row r="51" ht="20" customHeight="1">
      <c r="A51" s="23" t="inlineStr">
        <is>
          <t>Gas Behavior</t>
        </is>
      </c>
      <c r="B51" s="24" t="n"/>
      <c r="C51" s="24" t="n"/>
      <c r="D51" s="24" t="n"/>
      <c r="E51" s="24" t="n"/>
      <c r="F51" s="24" t="n"/>
    </row>
    <row r="53">
      <c r="A53" s="25" t="inlineStr">
        <is>
          <t>Gas Migration Rate from Casing Pressure Rise</t>
        </is>
      </c>
      <c r="B53" s="26" t="n"/>
      <c r="C53" s="26" t="n"/>
      <c r="D53" s="26" t="n"/>
      <c r="E53" s="26" t="n"/>
      <c r="F53" s="49" t="inlineStr">
        <is>
          <t>V_mig [ft/hr] = (dP/dt) / (0.052 x MW)</t>
        </is>
      </c>
    </row>
    <row r="54">
      <c r="A54" t="inlineStr"/>
      <c r="F54" s="27" t="inlineStr">
        <is>
          <t>Shut-in well: migrating gas carries its pressure up; casing pressure rise rate converts to migration speed through the mud gradient.</t>
        </is>
      </c>
    </row>
    <row r="55">
      <c r="A55" s="28" t="inlineStr">
        <is>
          <t>Casing pressure rise rate</t>
        </is>
      </c>
      <c r="B55" s="31" t="n">
        <v>150</v>
      </c>
      <c r="C55" s="30" t="inlineStr">
        <is>
          <t>psi/hr</t>
        </is>
      </c>
      <c r="D55" s="32">
        <f>IFERROR($B$55*6.894757,NA())</f>
        <v/>
      </c>
      <c r="E55" s="30" t="inlineStr">
        <is>
          <t>kPa/hr</t>
        </is>
      </c>
    </row>
    <row r="56">
      <c r="A56" s="28" t="inlineStr">
        <is>
          <t>Mud weight (MW)</t>
        </is>
      </c>
      <c r="B56" s="35" t="n">
        <v>12.5</v>
      </c>
      <c r="C56" s="30" t="inlineStr">
        <is>
          <t>ppg</t>
        </is>
      </c>
      <c r="D56" s="36">
        <f>IFERROR($B$56*119.8264,NA())</f>
        <v/>
      </c>
      <c r="E56" s="30" t="inlineStr">
        <is>
          <t>kg/m3</t>
        </is>
      </c>
    </row>
    <row r="57">
      <c r="A57" s="28" t="inlineStr">
        <is>
          <t>Gas migration rate</t>
        </is>
      </c>
      <c r="B57" s="59">
        <f>$B$55/(0.052*$B$56)</f>
        <v/>
      </c>
      <c r="C57" s="30" t="inlineStr">
        <is>
          <t>ft/hr</t>
        </is>
      </c>
      <c r="D57" s="32">
        <f>IFERROR($B$57*0.3048,NA())</f>
        <v/>
      </c>
      <c r="E57" s="30" t="inlineStr">
        <is>
          <t>m/hr</t>
        </is>
      </c>
    </row>
    <row r="59">
      <c r="A59" s="25" t="inlineStr">
        <is>
          <t>Gas Expansion (Boyle's Law)</t>
        </is>
      </c>
      <c r="B59" s="26" t="n"/>
      <c r="C59" s="26" t="n"/>
      <c r="D59" s="26" t="n"/>
      <c r="E59" s="26" t="n"/>
      <c r="F59" s="49" t="inlineStr">
        <is>
          <t>P1 x V1 = P2 x V2   -&gt;   V2 = P1 x V1 / P2</t>
        </is>
      </c>
    </row>
    <row r="60">
      <c r="A60" t="inlineStr"/>
      <c r="F60" s="27" t="inlineStr">
        <is>
          <t>Isothermal ideal gas (Z and temperature ignored). Use absolute pressures for accuracy; at wellbore pressures the gauge/absolute difference is usually negligible.</t>
        </is>
      </c>
    </row>
    <row r="61">
      <c r="A61" s="28" t="inlineStr">
        <is>
          <t>Initial pressure (P1)</t>
        </is>
      </c>
      <c r="B61" s="31" t="n">
        <v>5200</v>
      </c>
      <c r="C61" s="30" t="inlineStr">
        <is>
          <t>psi</t>
        </is>
      </c>
      <c r="D61" s="32">
        <f>IFERROR($B$61*6.894757,NA())</f>
        <v/>
      </c>
      <c r="E61" s="30" t="inlineStr">
        <is>
          <t>kPa</t>
        </is>
      </c>
    </row>
    <row r="62">
      <c r="A62" s="28" t="inlineStr">
        <is>
          <t>Initial gas volume (V1)</t>
        </is>
      </c>
      <c r="B62" s="37" t="n">
        <v>10</v>
      </c>
      <c r="C62" s="30" t="inlineStr">
        <is>
          <t>bbl</t>
        </is>
      </c>
      <c r="D62" s="40">
        <f>IFERROR($B$62*0.1589873,NA())</f>
        <v/>
      </c>
      <c r="E62" s="30" t="inlineStr">
        <is>
          <t>m3</t>
        </is>
      </c>
    </row>
    <row r="63">
      <c r="A63" s="28" t="inlineStr">
        <is>
          <t>Final pressure (P2)</t>
        </is>
      </c>
      <c r="B63" s="31" t="n">
        <v>500</v>
      </c>
      <c r="C63" s="30" t="inlineStr">
        <is>
          <t>psi</t>
        </is>
      </c>
      <c r="D63" s="32">
        <f>IFERROR($B$63*6.894757,NA())</f>
        <v/>
      </c>
      <c r="E63" s="30" t="inlineStr">
        <is>
          <t>kPa</t>
        </is>
      </c>
    </row>
    <row r="64">
      <c r="A64" s="28" t="inlineStr">
        <is>
          <t>Expanded gas volume (V2)</t>
        </is>
      </c>
      <c r="B64" s="54">
        <f>$B$61*$B$62/$B$63</f>
        <v/>
      </c>
      <c r="C64" s="30" t="inlineStr">
        <is>
          <t>bbl</t>
        </is>
      </c>
      <c r="D64" s="40">
        <f>IFERROR($B$64*0.1589873,NA())</f>
        <v/>
      </c>
      <c r="E64" s="30" t="inlineStr">
        <is>
          <t>m3</t>
        </is>
      </c>
    </row>
    <row r="66">
      <c r="A66" s="25" t="inlineStr">
        <is>
          <t>Gas-Cut Mud: Bottomhole Pressure Reduction</t>
        </is>
      </c>
      <c r="B66" s="26" t="n"/>
      <c r="C66" s="26" t="n"/>
      <c r="D66" s="26" t="n"/>
      <c r="E66" s="26" t="n"/>
      <c r="F66" s="49" t="inlineStr">
        <is>
          <t>dBHP [psi] ~ 0.052 x TVD x (MW - MW_cut) / 2</t>
        </is>
      </c>
    </row>
    <row r="67">
      <c r="A67" t="inlineStr"/>
      <c r="F67" s="27" t="inlineStr">
        <is>
          <t>Annular-average approximation: gas expands mostly near surface, so the density cut measured at the flowline acts over roughly half the column on average. Actual reduction is usually even smaller - treat as an upper-bound screening number, not a reason to raise mud weight by itself.</t>
        </is>
      </c>
    </row>
    <row r="68">
      <c r="A68" s="28" t="inlineStr">
        <is>
          <t>Uncut mud weight (MW)</t>
        </is>
      </c>
      <c r="B68" s="35" t="n">
        <v>12.5</v>
      </c>
      <c r="C68" s="30" t="inlineStr">
        <is>
          <t>ppg</t>
        </is>
      </c>
      <c r="D68" s="36">
        <f>IFERROR($B$68*119.8264,NA())</f>
        <v/>
      </c>
      <c r="E68" s="30" t="inlineStr">
        <is>
          <t>kg/m3</t>
        </is>
      </c>
    </row>
    <row r="69">
      <c r="A69" s="28" t="inlineStr">
        <is>
          <t>Gas-cut mud weight at flowline</t>
        </is>
      </c>
      <c r="B69" s="35" t="n">
        <v>10</v>
      </c>
      <c r="C69" s="30" t="inlineStr">
        <is>
          <t>ppg</t>
        </is>
      </c>
      <c r="D69" s="36">
        <f>IFERROR($B$69*119.8264,NA())</f>
        <v/>
      </c>
      <c r="E69" s="30" t="inlineStr">
        <is>
          <t>kg/m3</t>
        </is>
      </c>
    </row>
    <row r="70">
      <c r="A70" s="28" t="inlineStr">
        <is>
          <t>Well TVD</t>
        </is>
      </c>
      <c r="B70" s="31" t="n">
        <v>10000</v>
      </c>
      <c r="C70" s="30" t="inlineStr">
        <is>
          <t>ft</t>
        </is>
      </c>
      <c r="D70" s="32">
        <f>IFERROR($B$70*0.3048,NA())</f>
        <v/>
      </c>
      <c r="E70" s="30" t="inlineStr">
        <is>
          <t>m</t>
        </is>
      </c>
    </row>
    <row r="71">
      <c r="A71" s="28" t="inlineStr">
        <is>
          <t>Reduction if cut acted over full column</t>
        </is>
      </c>
      <c r="B71" s="59">
        <f>0.052*$B$70*($B$68-$B$69)</f>
        <v/>
      </c>
      <c r="C71" s="30" t="inlineStr">
        <is>
          <t>psi</t>
        </is>
      </c>
      <c r="D71" s="32">
        <f>IFERROR($B$71*6.894757,NA())</f>
        <v/>
      </c>
      <c r="E71" s="30" t="inlineStr">
        <is>
          <t>kPa</t>
        </is>
      </c>
      <c r="F71" s="27" t="inlineStr">
        <is>
          <t>Unrealistic worst case shown for comparison.</t>
        </is>
      </c>
    </row>
    <row r="72">
      <c r="A72" s="28" t="inlineStr">
        <is>
          <t>Approx. BHP reduction (annular average)</t>
        </is>
      </c>
      <c r="B72" s="59">
        <f>$B$71/2</f>
        <v/>
      </c>
      <c r="C72" s="30" t="inlineStr">
        <is>
          <t>psi</t>
        </is>
      </c>
      <c r="D72" s="32">
        <f>IFERROR($B$72*6.894757,NA())</f>
        <v/>
      </c>
      <c r="E72" s="30" t="inlineStr">
        <is>
          <t>kPa</t>
        </is>
      </c>
    </row>
    <row r="74" ht="20" customHeight="1">
      <c r="A74" s="23" t="inlineStr">
        <is>
          <t>Kill Calculations</t>
        </is>
      </c>
      <c r="B74" s="24" t="n"/>
      <c r="C74" s="24" t="n"/>
      <c r="D74" s="24" t="n"/>
      <c r="E74" s="24" t="n"/>
      <c r="F74" s="24" t="n"/>
    </row>
    <row r="76">
      <c r="A76" s="25" t="inlineStr">
        <is>
          <t>Kill Mud Weight, ICP, FCP &amp; Barite</t>
        </is>
      </c>
      <c r="B76" s="26" t="n"/>
      <c r="C76" s="26" t="n"/>
      <c r="D76" s="26" t="n"/>
      <c r="E76" s="26" t="n"/>
      <c r="F76" s="49" t="inlineStr">
        <is>
          <t>KMW = MW + SIDPP/(0.052 x TVD);  ICP = SCRP + SIDPP;  FCP = SCRP x KMW/MW;  Sacks = 1470 x (KMW - MW)/(35 - KMW) x V/100</t>
        </is>
      </c>
    </row>
    <row r="77">
      <c r="A77" t="inlineStr"/>
      <c r="F77" s="27" t="inlineStr">
        <is>
          <t>Driller's/Wait-and-Weight standard kill-sheet values. Barite: SG 4.20 (35 ppg), 100-lb sacks.</t>
        </is>
      </c>
    </row>
    <row r="78">
      <c r="A78" s="28" t="inlineStr">
        <is>
          <t>Current mud weight (MW)</t>
        </is>
      </c>
      <c r="B78" s="35" t="n">
        <v>12.5</v>
      </c>
      <c r="C78" s="30" t="inlineStr">
        <is>
          <t>ppg</t>
        </is>
      </c>
      <c r="D78" s="36">
        <f>IFERROR($B$78*119.8264,NA())</f>
        <v/>
      </c>
      <c r="E78" s="30" t="inlineStr">
        <is>
          <t>kg/m3</t>
        </is>
      </c>
    </row>
    <row r="79">
      <c r="A79" s="28" t="inlineStr">
        <is>
          <t>Shut-in drill pipe pressure (SIDPP)</t>
        </is>
      </c>
      <c r="B79" s="31" t="n">
        <v>350</v>
      </c>
      <c r="C79" s="30" t="inlineStr">
        <is>
          <t>psi</t>
        </is>
      </c>
      <c r="D79" s="32">
        <f>IFERROR($B$79*6.894757,NA())</f>
        <v/>
      </c>
      <c r="E79" s="30" t="inlineStr">
        <is>
          <t>kPa</t>
        </is>
      </c>
    </row>
    <row r="80">
      <c r="A80" s="28" t="inlineStr">
        <is>
          <t>Well TVD</t>
        </is>
      </c>
      <c r="B80" s="31" t="n">
        <v>10000</v>
      </c>
      <c r="C80" s="30" t="inlineStr">
        <is>
          <t>ft</t>
        </is>
      </c>
      <c r="D80" s="32">
        <f>IFERROR($B$80*0.3048,NA())</f>
        <v/>
      </c>
      <c r="E80" s="30" t="inlineStr">
        <is>
          <t>m</t>
        </is>
      </c>
    </row>
    <row r="81">
      <c r="A81" s="28" t="inlineStr">
        <is>
          <t>Slow circulating rate pressure (SCRP)</t>
        </is>
      </c>
      <c r="B81" s="31" t="n">
        <v>800</v>
      </c>
      <c r="C81" s="30" t="inlineStr">
        <is>
          <t>psi</t>
        </is>
      </c>
      <c r="D81" s="32">
        <f>IFERROR($B$81*6.894757,NA())</f>
        <v/>
      </c>
      <c r="E81" s="30" t="inlineStr">
        <is>
          <t>kPa</t>
        </is>
      </c>
    </row>
    <row r="82">
      <c r="A82" s="28" t="inlineStr">
        <is>
          <t>Active mud system volume</t>
        </is>
      </c>
      <c r="B82" s="31" t="n">
        <v>1000</v>
      </c>
      <c r="C82" s="30" t="inlineStr">
        <is>
          <t>bbl</t>
        </is>
      </c>
      <c r="D82" s="32">
        <f>IFERROR($B$82*0.1589873,NA())</f>
        <v/>
      </c>
      <c r="E82" s="30" t="inlineStr">
        <is>
          <t>m3</t>
        </is>
      </c>
    </row>
    <row r="83">
      <c r="A83" s="28" t="inlineStr">
        <is>
          <t>Kill mud weight (exact)</t>
        </is>
      </c>
      <c r="B83" s="50">
        <f>$B$78+$B$79/(0.052*$B$80)</f>
        <v/>
      </c>
      <c r="C83" s="30" t="inlineStr">
        <is>
          <t>ppg</t>
        </is>
      </c>
      <c r="D83" s="34">
        <f>IFERROR($B$83*119.8264,NA())</f>
        <v/>
      </c>
      <c r="E83" s="30" t="inlineStr">
        <is>
          <t>kg/m3</t>
        </is>
      </c>
    </row>
    <row r="84">
      <c r="A84" s="28" t="inlineStr">
        <is>
          <t>Kill mud weight (KMW, rounded up)</t>
        </is>
      </c>
      <c r="B84" s="54">
        <f>ROUNDUP(ROUND($B$83*10,6),0)/10</f>
        <v/>
      </c>
      <c r="C84" s="30" t="inlineStr">
        <is>
          <t>ppg</t>
        </is>
      </c>
      <c r="D84" s="40">
        <f>IFERROR($B$84*119.8264,NA())</f>
        <v/>
      </c>
      <c r="E84" s="30" t="inlineStr">
        <is>
          <t>kg/m3</t>
        </is>
      </c>
      <c r="F84" s="27" t="inlineStr">
        <is>
          <t>Rounding rule: kill weight fluid density rounds UP to the nearest 0.1 ppg.</t>
        </is>
      </c>
    </row>
    <row r="85">
      <c r="A85" s="28" t="inlineStr">
        <is>
          <t>Initial circulating pressure (ICP)</t>
        </is>
      </c>
      <c r="B85" s="59">
        <f>$B$81+$B$79</f>
        <v/>
      </c>
      <c r="C85" s="30" t="inlineStr">
        <is>
          <t>psi</t>
        </is>
      </c>
      <c r="D85" s="32">
        <f>IFERROR($B$85*6.894757,NA())</f>
        <v/>
      </c>
      <c r="E85" s="30" t="inlineStr">
        <is>
          <t>kPa</t>
        </is>
      </c>
    </row>
    <row r="86">
      <c r="A86" s="28" t="inlineStr">
        <is>
          <t>Final circulating pressure (FCP)</t>
        </is>
      </c>
      <c r="B86" s="59">
        <f>$B$81*$B$84/$B$78</f>
        <v/>
      </c>
      <c r="C86" s="30" t="inlineStr">
        <is>
          <t>psi</t>
        </is>
      </c>
      <c r="D86" s="32">
        <f>IFERROR($B$86*6.894757,NA())</f>
        <v/>
      </c>
      <c r="E86" s="30" t="inlineStr">
        <is>
          <t>kPa</t>
        </is>
      </c>
    </row>
    <row r="87">
      <c r="A87" s="28" t="inlineStr">
        <is>
          <t>Barite required</t>
        </is>
      </c>
      <c r="B87" s="59">
        <f>1470*($B$84-$B$78)/(35-$B$84)*$B$82/100</f>
        <v/>
      </c>
      <c r="C87" s="30" t="inlineStr"/>
      <c r="F87" s="27" t="inlineStr">
        <is>
          <t>100-lb sacks to weight the whole active system to KMW.</t>
        </is>
      </c>
    </row>
    <row r="89" ht="20" customHeight="1">
      <c r="A89" s="23" t="inlineStr">
        <is>
          <t>Volumetric Method</t>
        </is>
      </c>
      <c r="B89" s="24" t="n"/>
      <c r="C89" s="24" t="n"/>
      <c r="D89" s="24" t="n"/>
      <c r="E89" s="24" t="n"/>
      <c r="F89" s="24" t="n"/>
    </row>
    <row r="91">
      <c r="A91" s="25" t="inlineStr">
        <is>
          <t>Volumetric Method: Bleed Increments</t>
        </is>
      </c>
      <c r="B91" s="26" t="n"/>
      <c r="C91" s="26" t="n"/>
      <c r="D91" s="26" t="n"/>
      <c r="E91" s="26" t="n"/>
      <c r="F91" s="49" t="inlineStr">
        <is>
          <t>P per bbl [psi/bbl] = 0.052 x MW / C_ann;   bbl per step = P_working / (psi/bbl)</t>
        </is>
      </c>
    </row>
    <row r="92">
      <c r="A92" t="inlineStr"/>
      <c r="F92" s="27" t="inlineStr">
        <is>
          <t>Gas migrating with pipe off bottom or no circulation possible: hold BHP constant by bleeding mud in measured steps as casing pressure rises by the chosen working pressure.</t>
        </is>
      </c>
    </row>
    <row r="93">
      <c r="A93" s="28" t="inlineStr">
        <is>
          <t>Mud weight (MW)</t>
        </is>
      </c>
      <c r="B93" s="35" t="n">
        <v>12.5</v>
      </c>
      <c r="C93" s="30" t="inlineStr">
        <is>
          <t>ppg</t>
        </is>
      </c>
      <c r="D93" s="36">
        <f>IFERROR($B$93*119.8264,NA())</f>
        <v/>
      </c>
      <c r="E93" s="30" t="inlineStr">
        <is>
          <t>kg/m3</t>
        </is>
      </c>
    </row>
    <row r="94">
      <c r="A94" s="28" t="inlineStr">
        <is>
          <t>Annular capacity at gas</t>
        </is>
      </c>
      <c r="B94" s="62" t="n">
        <v>0.0459</v>
      </c>
      <c r="C94" s="30" t="inlineStr">
        <is>
          <t>bbl/ft</t>
        </is>
      </c>
      <c r="D94" s="53">
        <f>IFERROR($B$94*0.5216119,NA())</f>
        <v/>
      </c>
      <c r="E94" s="30" t="inlineStr">
        <is>
          <t>m3/m</t>
        </is>
      </c>
    </row>
    <row r="95">
      <c r="A95" s="28" t="inlineStr">
        <is>
          <t>Working pressure per step</t>
        </is>
      </c>
      <c r="B95" s="31" t="n">
        <v>100</v>
      </c>
      <c r="C95" s="30" t="inlineStr">
        <is>
          <t>psi</t>
        </is>
      </c>
      <c r="D95" s="32">
        <f>IFERROR($B$95*6.894757,NA())</f>
        <v/>
      </c>
      <c r="E95" s="30" t="inlineStr">
        <is>
          <t>kPa</t>
        </is>
      </c>
      <c r="F95" s="27" t="inlineStr">
        <is>
          <t>Also allow a safety margin (typically 50-100 psi) before the first bleed.</t>
        </is>
      </c>
    </row>
    <row r="96">
      <c r="A96" s="28" t="inlineStr">
        <is>
          <t>Hydrostatic pressure per barrel</t>
        </is>
      </c>
      <c r="B96" s="54">
        <f>0.052*$B$93/$B$94</f>
        <v/>
      </c>
      <c r="C96" s="30" t="inlineStr">
        <is>
          <t>psi/bbl</t>
        </is>
      </c>
      <c r="D96" s="40">
        <f>IFERROR($B$96*43.36638,NA())</f>
        <v/>
      </c>
      <c r="E96" s="30" t="inlineStr">
        <is>
          <t>kPa/m3</t>
        </is>
      </c>
    </row>
    <row r="97">
      <c r="A97" s="28" t="inlineStr">
        <is>
          <t>Mud to bleed per step</t>
        </is>
      </c>
      <c r="B97" s="51">
        <f>$B$95/$B$96</f>
        <v/>
      </c>
      <c r="C97" s="30" t="inlineStr">
        <is>
          <t>bbl</t>
        </is>
      </c>
      <c r="D97" s="42">
        <f>IFERROR($B$97*0.1589873,NA())</f>
        <v/>
      </c>
      <c r="E97" s="30" t="inlineStr">
        <is>
          <t>m3</t>
        </is>
      </c>
      <c r="F97" s="27" t="inlineStr">
        <is>
          <t>Bleed mud only (never gas) at constant casing pressure, then wait; repeat as gas migrates.</t>
        </is>
      </c>
    </row>
    <row r="99">
      <c r="A99" s="25" t="inlineStr">
        <is>
          <t>Lubricate &amp; Bleed</t>
        </is>
      </c>
      <c r="B99" s="26" t="n"/>
      <c r="C99" s="26" t="n"/>
      <c r="D99" s="26" t="n"/>
      <c r="E99" s="26" t="n"/>
      <c r="F99" s="49" t="inlineStr">
        <is>
          <t>P gained per bbl lubricated = 0.052 x MW_lube / C_csg;   P to bleed per cycle = bbl x psi/bbl</t>
        </is>
      </c>
    </row>
    <row r="100">
      <c r="A100" t="inlineStr"/>
      <c r="F100" s="27" t="inlineStr">
        <is>
          <t>Gas at surface under the BOP: pump (lubricate) mud in, allow it to fall through the gas, then bleed gas pressure equal to the hydrostatic added. Capacity here is usually casing (no pipe) below the BOP.</t>
        </is>
      </c>
    </row>
    <row r="101">
      <c r="A101" s="28" t="inlineStr">
        <is>
          <t>Lubricating mud weight</t>
        </is>
      </c>
      <c r="B101" s="35" t="n">
        <v>13.2</v>
      </c>
      <c r="C101" s="30" t="inlineStr">
        <is>
          <t>ppg</t>
        </is>
      </c>
      <c r="D101" s="36">
        <f>IFERROR($B$101*119.8264,NA())</f>
        <v/>
      </c>
      <c r="E101" s="30" t="inlineStr">
        <is>
          <t>kg/m3</t>
        </is>
      </c>
    </row>
    <row r="102">
      <c r="A102" s="28" t="inlineStr">
        <is>
          <t>Casing capacity at gas</t>
        </is>
      </c>
      <c r="B102" s="62" t="n">
        <v>0.0732</v>
      </c>
      <c r="C102" s="30" t="inlineStr">
        <is>
          <t>bbl/ft</t>
        </is>
      </c>
      <c r="D102" s="53">
        <f>IFERROR($B$102*0.5216119,NA())</f>
        <v/>
      </c>
      <c r="E102" s="30" t="inlineStr">
        <is>
          <t>m3/m</t>
        </is>
      </c>
    </row>
    <row r="103">
      <c r="A103" s="28" t="inlineStr">
        <is>
          <t>Mud lubricated per cycle</t>
        </is>
      </c>
      <c r="B103" s="37" t="n">
        <v>5</v>
      </c>
      <c r="C103" s="30" t="inlineStr">
        <is>
          <t>bbl</t>
        </is>
      </c>
      <c r="D103" s="40">
        <f>IFERROR($B$103*0.1589873,NA())</f>
        <v/>
      </c>
      <c r="E103" s="30" t="inlineStr">
        <is>
          <t>m3</t>
        </is>
      </c>
    </row>
    <row r="104">
      <c r="A104" s="28" t="inlineStr">
        <is>
          <t>Hydrostatic gained per barrel</t>
        </is>
      </c>
      <c r="B104" s="54">
        <f>0.052*$B$101/$B$102</f>
        <v/>
      </c>
      <c r="C104" s="30" t="inlineStr">
        <is>
          <t>psi/bbl</t>
        </is>
      </c>
      <c r="D104" s="40">
        <f>IFERROR($B$104*43.36638,NA())</f>
        <v/>
      </c>
      <c r="E104" s="30" t="inlineStr">
        <is>
          <t>kPa/m3</t>
        </is>
      </c>
    </row>
    <row r="105">
      <c r="A105" s="28" t="inlineStr">
        <is>
          <t>Pressure to bleed per cycle</t>
        </is>
      </c>
      <c r="B105" s="54">
        <f>$B$103*$B$104</f>
        <v/>
      </c>
      <c r="C105" s="30" t="inlineStr">
        <is>
          <t>psi</t>
        </is>
      </c>
      <c r="D105" s="40">
        <f>IFERROR($B$105*6.894757,NA())</f>
        <v/>
      </c>
      <c r="E105" s="30" t="inlineStr">
        <is>
          <t>kPa</t>
        </is>
      </c>
      <c r="F105" s="27" t="inlineStr">
        <is>
          <t>Bleed dry gas only; stop if mud reaches the choke.</t>
        </is>
      </c>
    </row>
  </sheetData>
  <sheetProtection selectLockedCells="0" selectUnlockedCells="0" sheet="1" objects="0" insertRows="1" insertHyperlinks="1" autoFilter="1" scenarios="0" formatColumns="0" deleteColumns="1" insertColumns="1" pivotTables="1" deleteRows="1" formatCells="1" formatRows="0" sort="1"/>
  <mergeCells count="7">
    <mergeCell ref="A2:F2"/>
    <mergeCell ref="A51:F51"/>
    <mergeCell ref="A1:F1"/>
    <mergeCell ref="A89:F89"/>
    <mergeCell ref="A6:F6"/>
    <mergeCell ref="A74:F74"/>
    <mergeCell ref="A30:F30"/>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11.xml><?xml version="1.0" encoding="utf-8"?>
<worksheet xmlns="http://schemas.openxmlformats.org/spreadsheetml/2006/main">
  <sheetPr>
    <tabColor rgb="002E75B6"/>
    <outlinePr summaryBelow="1" summaryRight="1"/>
    <pageSetUpPr/>
  </sheetPr>
  <dimension ref="A1:F80"/>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Drilling Hydraulics</t>
        </is>
      </c>
      <c r="B1" s="2" t="n"/>
      <c r="C1" s="2" t="n"/>
      <c r="D1" s="2" t="n"/>
      <c r="E1" s="2" t="n"/>
      <c r="F1" s="2" t="n"/>
    </row>
    <row r="2">
      <c r="A2" s="20" t="inlineStr">
        <is>
          <t>Annular velocity, cuttings transport, Bingham and power-law rheology, annular losses, ECD, surge and swab</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Velocities &amp; Cuttings Transport</t>
        </is>
      </c>
      <c r="B6" s="24" t="n"/>
      <c r="C6" s="24" t="n"/>
      <c r="D6" s="24" t="n"/>
      <c r="E6" s="24" t="n"/>
      <c r="F6" s="24" t="n"/>
    </row>
    <row r="8">
      <c r="A8" s="25" t="inlineStr">
        <is>
          <t>Annular Velocity</t>
        </is>
      </c>
      <c r="B8" s="26" t="n"/>
      <c r="C8" s="26" t="n"/>
      <c r="D8" s="26" t="n"/>
      <c r="E8" s="26" t="n"/>
      <c r="F8" s="49" t="inlineStr">
        <is>
          <t>AV [ft/min] = 24.5 x Q / (Dh^2 - Dp^2)</t>
        </is>
      </c>
    </row>
    <row r="9">
      <c r="A9" t="inlineStr"/>
      <c r="F9" s="27" t="inlineStr">
        <is>
          <t>Q in gpm, diameters in inches. Rule of thumb: keep AV above ~100-120 ft/min in vertical wells.</t>
        </is>
      </c>
    </row>
    <row r="10">
      <c r="A10" s="28" t="inlineStr">
        <is>
          <t>Flow rate (Q)</t>
        </is>
      </c>
      <c r="B10" s="31" t="n">
        <v>600</v>
      </c>
      <c r="C10" s="30" t="inlineStr">
        <is>
          <t>gpm</t>
        </is>
      </c>
      <c r="D10" s="32">
        <f>IFERROR($B$10*3.785412,NA())</f>
        <v/>
      </c>
      <c r="E10" s="30" t="inlineStr">
        <is>
          <t>L/min</t>
        </is>
      </c>
    </row>
    <row r="11">
      <c r="A11" s="28" t="inlineStr">
        <is>
          <t>Hole diameter (Dh)</t>
        </is>
      </c>
      <c r="B11" s="33" t="n">
        <v>8.5</v>
      </c>
      <c r="C11" s="30" t="inlineStr">
        <is>
          <t>in</t>
        </is>
      </c>
      <c r="D11" s="34">
        <f>IFERROR($B$11*25.4,NA())</f>
        <v/>
      </c>
      <c r="E11" s="30" t="inlineStr">
        <is>
          <t>mm</t>
        </is>
      </c>
    </row>
    <row r="12">
      <c r="A12" s="28" t="inlineStr">
        <is>
          <t>Pipe outside diameter (Dp)</t>
        </is>
      </c>
      <c r="B12" s="33" t="n">
        <v>5</v>
      </c>
      <c r="C12" s="30" t="inlineStr">
        <is>
          <t>in</t>
        </is>
      </c>
      <c r="D12" s="34">
        <f>IFERROR($B$12*25.4,NA())</f>
        <v/>
      </c>
      <c r="E12" s="30" t="inlineStr">
        <is>
          <t>mm</t>
        </is>
      </c>
    </row>
    <row r="13">
      <c r="A13" s="28" t="inlineStr">
        <is>
          <t>Annular velocity</t>
        </is>
      </c>
      <c r="B13" s="60">
        <f>24.5*$B$10/($B$11^2-$B$12^2)</f>
        <v/>
      </c>
      <c r="C13" s="30" t="inlineStr">
        <is>
          <t>ft/min</t>
        </is>
      </c>
      <c r="D13" s="61">
        <f>IFERROR($B$13*0.3048,NA())</f>
        <v/>
      </c>
      <c r="E13" s="30" t="inlineStr">
        <is>
          <t>m/min</t>
        </is>
      </c>
    </row>
    <row r="15">
      <c r="A15" s="25" t="inlineStr">
        <is>
          <t>Pipe (Internal) Velocity</t>
        </is>
      </c>
      <c r="B15" s="26" t="n"/>
      <c r="C15" s="26" t="n"/>
      <c r="D15" s="26" t="n"/>
      <c r="E15" s="26" t="n"/>
      <c r="F15" s="49" t="inlineStr">
        <is>
          <t>V_pipe [ft/min] = 24.5 x Q / ID^2</t>
        </is>
      </c>
    </row>
    <row r="16">
      <c r="A16" s="28" t="inlineStr">
        <is>
          <t>Flow rate (Q)</t>
        </is>
      </c>
      <c r="B16" s="31" t="n">
        <v>600</v>
      </c>
      <c r="C16" s="30" t="inlineStr">
        <is>
          <t>gpm</t>
        </is>
      </c>
      <c r="D16" s="32">
        <f>IFERROR($B$16*3.785412,NA())</f>
        <v/>
      </c>
      <c r="E16" s="30" t="inlineStr">
        <is>
          <t>L/min</t>
        </is>
      </c>
    </row>
    <row r="17">
      <c r="A17" s="28" t="inlineStr">
        <is>
          <t>Pipe inside diameter (ID)</t>
        </is>
      </c>
      <c r="B17" s="33" t="n">
        <v>4.276</v>
      </c>
      <c r="C17" s="30" t="inlineStr">
        <is>
          <t>in</t>
        </is>
      </c>
      <c r="D17" s="34">
        <f>IFERROR($B$17*25.4,NA())</f>
        <v/>
      </c>
      <c r="E17" s="30" t="inlineStr">
        <is>
          <t>mm</t>
        </is>
      </c>
    </row>
    <row r="18">
      <c r="A18" s="28" t="inlineStr">
        <is>
          <t>Pipe velocity</t>
        </is>
      </c>
      <c r="B18" s="60">
        <f>24.5*$B$16/$B$17^2</f>
        <v/>
      </c>
      <c r="C18" s="30" t="inlineStr">
        <is>
          <t>ft/min</t>
        </is>
      </c>
      <c r="D18" s="61">
        <f>IFERROR($B$18*0.3048,NA())</f>
        <v/>
      </c>
      <c r="E18" s="30" t="inlineStr">
        <is>
          <t>m/min</t>
        </is>
      </c>
    </row>
    <row r="20">
      <c r="A20" s="25" t="inlineStr">
        <is>
          <t>Cuttings Slip Velocity &amp; Transport Ratio</t>
        </is>
      </c>
      <c r="B20" s="26" t="n"/>
      <c r="C20" s="26" t="n"/>
      <c r="D20" s="26" t="n"/>
      <c r="E20" s="26" t="n"/>
      <c r="F20" s="49" t="inlineStr">
        <is>
          <t>V_slip [ft/min] = 92.6 x SQRT( Dc x (MW_c - MW) / MW );   TR = (AV - V_slip) / AV x 100</t>
        </is>
      </c>
    </row>
    <row r="21">
      <c r="A21" t="inlineStr"/>
      <c r="F21" s="27" t="inlineStr">
        <is>
          <t>Turbulent (Newtonian) slip form, drag coefficient ~1.5; cuttings SG 2.6 = 21.7 ppg. Ignores mud rheology support, so it is conservative in viscous muds. TR &gt; 50% is generally adequate hole cleaning in near-vertical hole.</t>
        </is>
      </c>
    </row>
    <row r="22">
      <c r="A22" s="28" t="inlineStr">
        <is>
          <t>Cutting diameter (Dc)</t>
        </is>
      </c>
      <c r="B22" s="33" t="n">
        <v>0.25</v>
      </c>
      <c r="C22" s="30" t="inlineStr">
        <is>
          <t>in</t>
        </is>
      </c>
      <c r="D22" s="34">
        <f>IFERROR($B$22*25.4,NA())</f>
        <v/>
      </c>
      <c r="E22" s="30" t="inlineStr">
        <is>
          <t>mm</t>
        </is>
      </c>
    </row>
    <row r="23">
      <c r="A23" s="28" t="inlineStr">
        <is>
          <t>Cuttings density</t>
        </is>
      </c>
      <c r="B23" s="35" t="n">
        <v>21.7</v>
      </c>
      <c r="C23" s="30" t="inlineStr">
        <is>
          <t>ppg</t>
        </is>
      </c>
      <c r="D23" s="36">
        <f>IFERROR($B$23*119.8264,NA())</f>
        <v/>
      </c>
      <c r="E23" s="30" t="inlineStr">
        <is>
          <t>kg/m3</t>
        </is>
      </c>
      <c r="F23" s="27" t="inlineStr">
        <is>
          <t>SG 2.6 shale/sand.</t>
        </is>
      </c>
    </row>
    <row r="24">
      <c r="A24" s="28" t="inlineStr">
        <is>
          <t>Mud weight (MW)</t>
        </is>
      </c>
      <c r="B24" s="35" t="n">
        <v>12.5</v>
      </c>
      <c r="C24" s="30" t="inlineStr">
        <is>
          <t>ppg</t>
        </is>
      </c>
      <c r="D24" s="36">
        <f>IFERROR($B$24*119.8264,NA())</f>
        <v/>
      </c>
      <c r="E24" s="30" t="inlineStr">
        <is>
          <t>kg/m3</t>
        </is>
      </c>
    </row>
    <row r="25">
      <c r="A25" s="28" t="inlineStr">
        <is>
          <t>Flow rate (Q)</t>
        </is>
      </c>
      <c r="B25" s="31" t="n">
        <v>600</v>
      </c>
      <c r="C25" s="30" t="inlineStr">
        <is>
          <t>gpm</t>
        </is>
      </c>
      <c r="D25" s="32">
        <f>IFERROR($B$25*3.785412,NA())</f>
        <v/>
      </c>
      <c r="E25" s="30" t="inlineStr">
        <is>
          <t>L/min</t>
        </is>
      </c>
    </row>
    <row r="26">
      <c r="A26" s="28" t="inlineStr">
        <is>
          <t>Hole diameter (Dh)</t>
        </is>
      </c>
      <c r="B26" s="33" t="n">
        <v>8.5</v>
      </c>
      <c r="C26" s="30" t="inlineStr">
        <is>
          <t>in</t>
        </is>
      </c>
      <c r="D26" s="34">
        <f>IFERROR($B$26*25.4,NA())</f>
        <v/>
      </c>
      <c r="E26" s="30" t="inlineStr">
        <is>
          <t>mm</t>
        </is>
      </c>
    </row>
    <row r="27">
      <c r="A27" s="28" t="inlineStr">
        <is>
          <t>Pipe outside diameter (Dp)</t>
        </is>
      </c>
      <c r="B27" s="33" t="n">
        <v>5</v>
      </c>
      <c r="C27" s="30" t="inlineStr">
        <is>
          <t>in</t>
        </is>
      </c>
      <c r="D27" s="34">
        <f>IFERROR($B$27*25.4,NA())</f>
        <v/>
      </c>
      <c r="E27" s="30" t="inlineStr">
        <is>
          <t>mm</t>
        </is>
      </c>
    </row>
    <row r="28">
      <c r="A28" s="28" t="inlineStr">
        <is>
          <t>Annular velocity</t>
        </is>
      </c>
      <c r="B28" s="60">
        <f>24.5*$B$25/($B$26^2-$B$27^2)</f>
        <v/>
      </c>
      <c r="C28" s="30" t="inlineStr">
        <is>
          <t>ft/min</t>
        </is>
      </c>
      <c r="D28" s="61">
        <f>IFERROR($B$28*0.3048,NA())</f>
        <v/>
      </c>
      <c r="E28" s="30" t="inlineStr">
        <is>
          <t>m/min</t>
        </is>
      </c>
    </row>
    <row r="29">
      <c r="A29" s="28" t="inlineStr">
        <is>
          <t>Cuttings slip velocity</t>
        </is>
      </c>
      <c r="B29" s="60">
        <f>92.6*SQRT($B$22*($B$23-$B$24)/$B$24)</f>
        <v/>
      </c>
      <c r="C29" s="30" t="inlineStr">
        <is>
          <t>ft/min</t>
        </is>
      </c>
      <c r="D29" s="61">
        <f>IFERROR($B$29*0.3048,NA())</f>
        <v/>
      </c>
      <c r="E29" s="30" t="inlineStr">
        <is>
          <t>m/min</t>
        </is>
      </c>
    </row>
    <row r="30">
      <c r="A30" s="28" t="inlineStr">
        <is>
          <t>Net cuttings rise velocity</t>
        </is>
      </c>
      <c r="B30" s="60">
        <f>$B$28-$B$29</f>
        <v/>
      </c>
      <c r="C30" s="30" t="inlineStr">
        <is>
          <t>ft/min</t>
        </is>
      </c>
      <c r="D30" s="61">
        <f>IFERROR($B$30*0.3048,NA())</f>
        <v/>
      </c>
      <c r="E30" s="30" t="inlineStr">
        <is>
          <t>m/min</t>
        </is>
      </c>
    </row>
    <row r="31">
      <c r="A31" s="28" t="inlineStr">
        <is>
          <t>Transport ratio</t>
        </is>
      </c>
      <c r="B31" s="54">
        <f>($B$28-$B$29)/$B$28*100</f>
        <v/>
      </c>
      <c r="C31" s="30" t="inlineStr">
        <is>
          <t>%</t>
        </is>
      </c>
    </row>
    <row r="33" ht="20" customHeight="1">
      <c r="A33" s="23" t="inlineStr">
        <is>
          <t>Rheology from Viscometer Readings</t>
        </is>
      </c>
      <c r="B33" s="24" t="n"/>
      <c r="C33" s="24" t="n"/>
      <c r="D33" s="24" t="n"/>
      <c r="E33" s="24" t="n"/>
      <c r="F33" s="24" t="n"/>
    </row>
    <row r="35">
      <c r="A35" s="25" t="inlineStr">
        <is>
          <t>Bingham Plastic: PV &amp; YP</t>
        </is>
      </c>
      <c r="B35" s="26" t="n"/>
      <c r="C35" s="26" t="n"/>
      <c r="D35" s="26" t="n"/>
      <c r="E35" s="26" t="n"/>
      <c r="F35" s="49" t="inlineStr">
        <is>
          <t>PV [cP] = theta600 - theta300;   YP [lb/100ft2] = theta300 - PV</t>
        </is>
      </c>
    </row>
    <row r="36">
      <c r="A36" t="inlineStr"/>
      <c r="F36" s="27" t="inlineStr">
        <is>
          <t>Standard 600/300 rpm Fann dial readings.</t>
        </is>
      </c>
    </row>
    <row r="37">
      <c r="A37" s="28" t="inlineStr">
        <is>
          <t>Dial reading at 600 rpm (theta600)</t>
        </is>
      </c>
      <c r="B37" s="37" t="n">
        <v>65</v>
      </c>
      <c r="C37" s="30" t="inlineStr"/>
      <c r="F37" s="27" t="inlineStr">
        <is>
          <t>Fann dial degrees.</t>
        </is>
      </c>
    </row>
    <row r="38">
      <c r="A38" s="28" t="inlineStr">
        <is>
          <t>Dial reading at 300 rpm (theta300)</t>
        </is>
      </c>
      <c r="B38" s="37" t="n">
        <v>40</v>
      </c>
      <c r="C38" s="30" t="inlineStr"/>
      <c r="F38" s="27" t="inlineStr">
        <is>
          <t>Fann dial degrees.</t>
        </is>
      </c>
    </row>
    <row r="39">
      <c r="A39" s="28" t="inlineStr">
        <is>
          <t>Plastic viscosity (PV)</t>
        </is>
      </c>
      <c r="B39" s="54">
        <f>$B$37-$B$38</f>
        <v/>
      </c>
      <c r="C39" s="30" t="inlineStr"/>
      <c r="F39" s="27" t="inlineStr">
        <is>
          <t>cP.</t>
        </is>
      </c>
    </row>
    <row r="40">
      <c r="A40" s="28" t="inlineStr">
        <is>
          <t>Yield point (YP)</t>
        </is>
      </c>
      <c r="B40" s="54">
        <f>$B$38-$B$39</f>
        <v/>
      </c>
      <c r="C40" s="30" t="inlineStr"/>
      <c r="F40" s="27" t="inlineStr">
        <is>
          <t>lb/100 ft2.</t>
        </is>
      </c>
    </row>
    <row r="42">
      <c r="A42" s="25" t="inlineStr">
        <is>
          <t>Power Law: n &amp; K</t>
        </is>
      </c>
      <c r="B42" s="26" t="n"/>
      <c r="C42" s="26" t="n"/>
      <c r="D42" s="26" t="n"/>
      <c r="E42" s="26" t="n"/>
      <c r="F42" s="49" t="inlineStr">
        <is>
          <t>n = 3.32 x LOG(theta600 / theta300);   K = 510 x theta300 / 511^n</t>
        </is>
      </c>
    </row>
    <row r="43">
      <c r="A43" t="inlineStr"/>
      <c r="F43" s="27" t="inlineStr">
        <is>
          <t>K in eq. centipoise (dyne-s^n/100 cm2). LOG is base 10.</t>
        </is>
      </c>
    </row>
    <row r="44">
      <c r="A44" s="28" t="inlineStr">
        <is>
          <t>Dial reading at 600 rpm (theta600)</t>
        </is>
      </c>
      <c r="B44" s="37" t="n">
        <v>65</v>
      </c>
      <c r="C44" s="30" t="inlineStr"/>
    </row>
    <row r="45">
      <c r="A45" s="28" t="inlineStr">
        <is>
          <t>Dial reading at 300 rpm (theta300)</t>
        </is>
      </c>
      <c r="B45" s="37" t="n">
        <v>40</v>
      </c>
      <c r="C45" s="30" t="inlineStr"/>
    </row>
    <row r="46">
      <c r="A46" s="28" t="inlineStr">
        <is>
          <t>Flow behavior index (n)</t>
        </is>
      </c>
      <c r="B46" s="50">
        <f>3.32*LOG($B$44/$B$45)</f>
        <v/>
      </c>
      <c r="C46" s="30" t="inlineStr"/>
    </row>
    <row r="47">
      <c r="A47" s="28" t="inlineStr">
        <is>
          <t>Consistency index (K)</t>
        </is>
      </c>
      <c r="B47" s="54">
        <f>510*$B$45/511^$B$46</f>
        <v/>
      </c>
      <c r="C47" s="30" t="inlineStr"/>
      <c r="F47" s="27" t="inlineStr">
        <is>
          <t>eq. cP.</t>
        </is>
      </c>
    </row>
    <row r="49" ht="20" customHeight="1">
      <c r="A49" s="23" t="inlineStr">
        <is>
          <t>Annular Pressure Loss &amp; ECD</t>
        </is>
      </c>
      <c r="B49" s="24" t="n"/>
      <c r="C49" s="24" t="n"/>
      <c r="D49" s="24" t="n"/>
      <c r="E49" s="24" t="n"/>
      <c r="F49" s="24" t="n"/>
    </row>
    <row r="51">
      <c r="A51" s="25" t="inlineStr">
        <is>
          <t>Annular Pressure Loss &amp; ECD (Bingham, Laminar)</t>
        </is>
      </c>
      <c r="B51" s="26" t="n"/>
      <c r="C51" s="26" t="n"/>
      <c r="D51" s="26" t="n"/>
      <c r="E51" s="26" t="n"/>
      <c r="F51" s="49" t="inlineStr">
        <is>
          <t>APL [psi] = L x PV x AV / (60000 x (Dh - Dp)^2) + L x YP / (200 x (Dh - Dp));   ECD = MW + APL / (0.052 x TVD)</t>
        </is>
      </c>
    </row>
    <row r="52">
      <c r="A52" t="inlineStr"/>
      <c r="F52" s="27" t="inlineStr">
        <is>
          <t>Simple field form, laminar annular flow, uniform geometry. Sum section by section for tapered strings; underestimates in turbulent flow.</t>
        </is>
      </c>
    </row>
    <row r="53">
      <c r="A53" s="28" t="inlineStr">
        <is>
          <t>Annulus length (L)</t>
        </is>
      </c>
      <c r="B53" s="31" t="n">
        <v>10000</v>
      </c>
      <c r="C53" s="30" t="inlineStr">
        <is>
          <t>ft</t>
        </is>
      </c>
      <c r="D53" s="32">
        <f>IFERROR($B$53*0.3048,NA())</f>
        <v/>
      </c>
      <c r="E53" s="30" t="inlineStr">
        <is>
          <t>m</t>
        </is>
      </c>
    </row>
    <row r="54">
      <c r="A54" s="28" t="inlineStr">
        <is>
          <t>Plastic viscosity (PV)</t>
        </is>
      </c>
      <c r="B54" s="37" t="n">
        <v>25</v>
      </c>
      <c r="C54" s="30" t="inlineStr"/>
      <c r="F54" s="27" t="inlineStr">
        <is>
          <t>cP.</t>
        </is>
      </c>
    </row>
    <row r="55">
      <c r="A55" s="28" t="inlineStr">
        <is>
          <t>Yield point (YP)</t>
        </is>
      </c>
      <c r="B55" s="37" t="n">
        <v>15</v>
      </c>
      <c r="C55" s="30" t="inlineStr"/>
      <c r="F55" s="27" t="inlineStr">
        <is>
          <t>lb/100 ft2.</t>
        </is>
      </c>
    </row>
    <row r="56">
      <c r="A56" s="28" t="inlineStr">
        <is>
          <t>Flow rate (Q)</t>
        </is>
      </c>
      <c r="B56" s="31" t="n">
        <v>600</v>
      </c>
      <c r="C56" s="30" t="inlineStr">
        <is>
          <t>gpm</t>
        </is>
      </c>
      <c r="D56" s="32">
        <f>IFERROR($B$56*3.785412,NA())</f>
        <v/>
      </c>
      <c r="E56" s="30" t="inlineStr">
        <is>
          <t>L/min</t>
        </is>
      </c>
    </row>
    <row r="57">
      <c r="A57" s="28" t="inlineStr">
        <is>
          <t>Hole diameter (Dh)</t>
        </is>
      </c>
      <c r="B57" s="33" t="n">
        <v>8.5</v>
      </c>
      <c r="C57" s="30" t="inlineStr">
        <is>
          <t>in</t>
        </is>
      </c>
      <c r="D57" s="34">
        <f>IFERROR($B$57*25.4,NA())</f>
        <v/>
      </c>
      <c r="E57" s="30" t="inlineStr">
        <is>
          <t>mm</t>
        </is>
      </c>
    </row>
    <row r="58">
      <c r="A58" s="28" t="inlineStr">
        <is>
          <t>Pipe outside diameter (Dp)</t>
        </is>
      </c>
      <c r="B58" s="33" t="n">
        <v>5</v>
      </c>
      <c r="C58" s="30" t="inlineStr">
        <is>
          <t>in</t>
        </is>
      </c>
      <c r="D58" s="34">
        <f>IFERROR($B$58*25.4,NA())</f>
        <v/>
      </c>
      <c r="E58" s="30" t="inlineStr">
        <is>
          <t>mm</t>
        </is>
      </c>
    </row>
    <row r="59">
      <c r="A59" s="28" t="inlineStr">
        <is>
          <t>Mud weight (MW)</t>
        </is>
      </c>
      <c r="B59" s="35" t="n">
        <v>12.5</v>
      </c>
      <c r="C59" s="30" t="inlineStr">
        <is>
          <t>ppg</t>
        </is>
      </c>
      <c r="D59" s="36">
        <f>IFERROR($B$59*119.8264,NA())</f>
        <v/>
      </c>
      <c r="E59" s="30" t="inlineStr">
        <is>
          <t>kg/m3</t>
        </is>
      </c>
    </row>
    <row r="60">
      <c r="A60" s="28" t="inlineStr">
        <is>
          <t>True vertical depth (TVD)</t>
        </is>
      </c>
      <c r="B60" s="31" t="n">
        <v>10000</v>
      </c>
      <c r="C60" s="30" t="inlineStr">
        <is>
          <t>ft</t>
        </is>
      </c>
      <c r="D60" s="32">
        <f>IFERROR($B$60*0.3048,NA())</f>
        <v/>
      </c>
      <c r="E60" s="30" t="inlineStr">
        <is>
          <t>m</t>
        </is>
      </c>
    </row>
    <row r="61">
      <c r="A61" s="28" t="inlineStr">
        <is>
          <t>Annular velocity</t>
        </is>
      </c>
      <c r="B61" s="60">
        <f>24.5*$B$56/($B$57^2-$B$58^2)</f>
        <v/>
      </c>
      <c r="C61" s="30" t="inlineStr">
        <is>
          <t>ft/min</t>
        </is>
      </c>
      <c r="D61" s="61">
        <f>IFERROR($B$61*0.3048,NA())</f>
        <v/>
      </c>
      <c r="E61" s="30" t="inlineStr">
        <is>
          <t>m/min</t>
        </is>
      </c>
    </row>
    <row r="62">
      <c r="A62" s="28" t="inlineStr">
        <is>
          <t>Annular pressure loss (APL)</t>
        </is>
      </c>
      <c r="B62" s="59">
        <f>$B$53*$B$54*$B$61/(60000*($B$57-$B$58)^2)+$B$53*$B$55/(200*($B$57-$B$58))</f>
        <v/>
      </c>
      <c r="C62" s="30" t="inlineStr">
        <is>
          <t>psi</t>
        </is>
      </c>
      <c r="D62" s="32">
        <f>IFERROR($B$62*6.894757,NA())</f>
        <v/>
      </c>
      <c r="E62" s="30" t="inlineStr">
        <is>
          <t>kPa</t>
        </is>
      </c>
    </row>
    <row r="63">
      <c r="A63" s="28" t="inlineStr">
        <is>
          <t>Equivalent circulating density (ECD)</t>
        </is>
      </c>
      <c r="B63" s="56">
        <f>$B$59+$B$62/(0.052*$B$60)</f>
        <v/>
      </c>
      <c r="C63" s="30" t="inlineStr">
        <is>
          <t>ppg</t>
        </is>
      </c>
      <c r="D63" s="36">
        <f>IFERROR($B$63*119.8264,NA())</f>
        <v/>
      </c>
      <c r="E63" s="30" t="inlineStr">
        <is>
          <t>kg/m3</t>
        </is>
      </c>
    </row>
    <row r="65" ht="20" customHeight="1">
      <c r="A65" s="23" t="inlineStr">
        <is>
          <t>Surge &amp; Swab</t>
        </is>
      </c>
      <c r="B65" s="24" t="n"/>
      <c r="C65" s="24" t="n"/>
      <c r="D65" s="24" t="n"/>
      <c r="E65" s="24" t="n"/>
      <c r="F65" s="24" t="n"/>
    </row>
    <row r="67">
      <c r="A67" s="25" t="inlineStr">
        <is>
          <t>Surge &amp; Swab Pressure (Burkhardt-Style, Simplified)</t>
        </is>
      </c>
      <c r="B67" s="26" t="n"/>
      <c r="C67" s="26" t="n"/>
      <c r="D67" s="26" t="n"/>
      <c r="E67" s="26" t="n"/>
      <c r="F67" s="49" t="inlineStr">
        <is>
          <t>Ve = Vp x (0.45 + Dp^2/(Dh^2 - Dp^2));   Ps [psi] = L x PV x Ve / (60000 x (Dh - Dp)^2) + L x YP / (200 x (Dh - Dp));   EMW = MW +/- Ps / (0.052 x TVD)</t>
        </is>
      </c>
    </row>
    <row r="68">
      <c r="A68" t="inlineStr"/>
      <c r="F68" s="27" t="inlineStr">
        <is>
          <t>Clinging constant 0.45; closed-end (or float-equipped) pipe, laminar flow. Vp is the average pipe running speed - peak speed can be 1.5-2x average, so apply to the fastest stand. Surge adds to BHP (running in), swab subtracts (pulling out).</t>
        </is>
      </c>
    </row>
    <row r="69">
      <c r="A69" s="28" t="inlineStr">
        <is>
          <t>Pipe running speed (Vp)</t>
        </is>
      </c>
      <c r="B69" s="85" t="n">
        <v>90</v>
      </c>
      <c r="C69" s="30" t="inlineStr">
        <is>
          <t>ft/min</t>
        </is>
      </c>
      <c r="D69" s="61">
        <f>IFERROR($B$69*0.3048,NA())</f>
        <v/>
      </c>
      <c r="E69" s="30" t="inlineStr">
        <is>
          <t>m/min</t>
        </is>
      </c>
      <c r="F69" s="27" t="inlineStr">
        <is>
          <t>Stand length / seconds per stand x 60.</t>
        </is>
      </c>
    </row>
    <row r="70">
      <c r="A70" s="28" t="inlineStr">
        <is>
          <t>Hole diameter (Dh)</t>
        </is>
      </c>
      <c r="B70" s="33" t="n">
        <v>8.5</v>
      </c>
      <c r="C70" s="30" t="inlineStr">
        <is>
          <t>in</t>
        </is>
      </c>
      <c r="D70" s="34">
        <f>IFERROR($B$70*25.4,NA())</f>
        <v/>
      </c>
      <c r="E70" s="30" t="inlineStr">
        <is>
          <t>mm</t>
        </is>
      </c>
    </row>
    <row r="71">
      <c r="A71" s="28" t="inlineStr">
        <is>
          <t>Pipe outside diameter (Dp)</t>
        </is>
      </c>
      <c r="B71" s="33" t="n">
        <v>5</v>
      </c>
      <c r="C71" s="30" t="inlineStr">
        <is>
          <t>in</t>
        </is>
      </c>
      <c r="D71" s="34">
        <f>IFERROR($B$71*25.4,NA())</f>
        <v/>
      </c>
      <c r="E71" s="30" t="inlineStr">
        <is>
          <t>mm</t>
        </is>
      </c>
    </row>
    <row r="72">
      <c r="A72" s="28" t="inlineStr">
        <is>
          <t>String length in hole (L)</t>
        </is>
      </c>
      <c r="B72" s="31" t="n">
        <v>10000</v>
      </c>
      <c r="C72" s="30" t="inlineStr">
        <is>
          <t>ft</t>
        </is>
      </c>
      <c r="D72" s="32">
        <f>IFERROR($B$72*0.3048,NA())</f>
        <v/>
      </c>
      <c r="E72" s="30" t="inlineStr">
        <is>
          <t>m</t>
        </is>
      </c>
    </row>
    <row r="73">
      <c r="A73" s="28" t="inlineStr">
        <is>
          <t>Plastic viscosity (PV)</t>
        </is>
      </c>
      <c r="B73" s="37" t="n">
        <v>25</v>
      </c>
      <c r="C73" s="30" t="inlineStr"/>
      <c r="F73" s="27" t="inlineStr">
        <is>
          <t>cP.</t>
        </is>
      </c>
    </row>
    <row r="74">
      <c r="A74" s="28" t="inlineStr">
        <is>
          <t>Yield point (YP)</t>
        </is>
      </c>
      <c r="B74" s="37" t="n">
        <v>15</v>
      </c>
      <c r="C74" s="30" t="inlineStr"/>
      <c r="F74" s="27" t="inlineStr">
        <is>
          <t>lb/100 ft2.</t>
        </is>
      </c>
    </row>
    <row r="75">
      <c r="A75" s="28" t="inlineStr">
        <is>
          <t>Mud weight (MW)</t>
        </is>
      </c>
      <c r="B75" s="35" t="n">
        <v>12.5</v>
      </c>
      <c r="C75" s="30" t="inlineStr">
        <is>
          <t>ppg</t>
        </is>
      </c>
      <c r="D75" s="36">
        <f>IFERROR($B$75*119.8264,NA())</f>
        <v/>
      </c>
      <c r="E75" s="30" t="inlineStr">
        <is>
          <t>kg/m3</t>
        </is>
      </c>
    </row>
    <row r="76">
      <c r="A76" s="28" t="inlineStr">
        <is>
          <t>True vertical depth (TVD)</t>
        </is>
      </c>
      <c r="B76" s="31" t="n">
        <v>10000</v>
      </c>
      <c r="C76" s="30" t="inlineStr">
        <is>
          <t>ft</t>
        </is>
      </c>
      <c r="D76" s="32">
        <f>IFERROR($B$76*0.3048,NA())</f>
        <v/>
      </c>
      <c r="E76" s="30" t="inlineStr">
        <is>
          <t>m</t>
        </is>
      </c>
    </row>
    <row r="77">
      <c r="A77" s="28" t="inlineStr">
        <is>
          <t>Effective annular velocity (Ve)</t>
        </is>
      </c>
      <c r="B77" s="60">
        <f>$B$69*(0.45+$B$71^2/($B$70^2-$B$71^2))</f>
        <v/>
      </c>
      <c r="C77" s="30" t="inlineStr">
        <is>
          <t>ft/min</t>
        </is>
      </c>
      <c r="D77" s="61">
        <f>IFERROR($B$77*0.3048,NA())</f>
        <v/>
      </c>
      <c r="E77" s="30" t="inlineStr">
        <is>
          <t>m/min</t>
        </is>
      </c>
    </row>
    <row r="78">
      <c r="A78" s="28" t="inlineStr">
        <is>
          <t>Surge / swab pressure (Ps)</t>
        </is>
      </c>
      <c r="B78" s="59">
        <f>$B$72*$B$73*$B$77/(60000*($B$70-$B$71)^2)+$B$72*$B$74/(200*($B$70-$B$71))</f>
        <v/>
      </c>
      <c r="C78" s="30" t="inlineStr">
        <is>
          <t>psi</t>
        </is>
      </c>
      <c r="D78" s="32">
        <f>IFERROR($B$78*6.894757,NA())</f>
        <v/>
      </c>
      <c r="E78" s="30" t="inlineStr">
        <is>
          <t>kPa</t>
        </is>
      </c>
    </row>
    <row r="79">
      <c r="A79" s="28" t="inlineStr">
        <is>
          <t>Equivalent MW while surging</t>
        </is>
      </c>
      <c r="B79" s="56">
        <f>$B$75+$B$78/(0.052*$B$76)</f>
        <v/>
      </c>
      <c r="C79" s="30" t="inlineStr">
        <is>
          <t>ppg</t>
        </is>
      </c>
      <c r="D79" s="36">
        <f>IFERROR($B$79*119.8264,NA())</f>
        <v/>
      </c>
      <c r="E79" s="30" t="inlineStr">
        <is>
          <t>kg/m3</t>
        </is>
      </c>
      <c r="F79" s="27" t="inlineStr">
        <is>
          <t>Keep below fracture gradient EMW at the shoe.</t>
        </is>
      </c>
    </row>
    <row r="80">
      <c r="A80" s="28" t="inlineStr">
        <is>
          <t>Equivalent MW while swabbing</t>
        </is>
      </c>
      <c r="B80" s="56">
        <f>$B$75-$B$78/(0.052*$B$76)</f>
        <v/>
      </c>
      <c r="C80" s="30" t="inlineStr">
        <is>
          <t>ppg</t>
        </is>
      </c>
      <c r="D80" s="36">
        <f>IFERROR($B$80*119.8264,NA())</f>
        <v/>
      </c>
      <c r="E80" s="30" t="inlineStr">
        <is>
          <t>kg/m3</t>
        </is>
      </c>
      <c r="F80" s="27" t="inlineStr">
        <is>
          <t>Keep above pore pressure EMW - otherwise slow the trip.</t>
        </is>
      </c>
    </row>
  </sheetData>
  <sheetProtection selectLockedCells="0" selectUnlockedCells="0" sheet="1" objects="0" insertRows="1" insertHyperlinks="1" autoFilter="1" scenarios="0" formatColumns="0" deleteColumns="1" insertColumns="1" pivotTables="1" deleteRows="1" formatCells="1" formatRows="0" sort="1"/>
  <mergeCells count="6">
    <mergeCell ref="A2:F2"/>
    <mergeCell ref="A33:F33"/>
    <mergeCell ref="A49:F49"/>
    <mergeCell ref="A1:F1"/>
    <mergeCell ref="A6:F6"/>
    <mergeCell ref="A65:F65"/>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12.xml><?xml version="1.0" encoding="utf-8"?>
<worksheet xmlns="http://schemas.openxmlformats.org/spreadsheetml/2006/main">
  <sheetPr>
    <tabColor rgb="002E75B6"/>
    <outlinePr summaryBelow="1" summaryRight="1"/>
    <pageSetUpPr/>
  </sheetPr>
  <dimension ref="A1:F51"/>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Bit Hydraulics</t>
        </is>
      </c>
      <c r="B1" s="2" t="n"/>
      <c r="C1" s="2" t="n"/>
      <c r="D1" s="2" t="n"/>
      <c r="E1" s="2" t="n"/>
      <c r="F1" s="2" t="n"/>
    </row>
    <row r="2">
      <c r="A2" s="20" t="inlineStr">
        <is>
          <t>Total flow area, nozzle velocity, bit pressure drop, hydraulic horsepower, HSI and jet impact force</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Nozzles &amp; Flow Area</t>
        </is>
      </c>
      <c r="B6" s="24" t="n"/>
      <c r="C6" s="24" t="n"/>
      <c r="D6" s="24" t="n"/>
      <c r="E6" s="24" t="n"/>
      <c r="F6" s="24" t="n"/>
    </row>
    <row r="8">
      <c r="A8" s="25" t="inlineStr">
        <is>
          <t>Total Flow Area (TFA)</t>
        </is>
      </c>
      <c r="B8" s="26" t="n"/>
      <c r="C8" s="26" t="n"/>
      <c r="D8" s="26" t="n"/>
      <c r="E8" s="26" t="n"/>
      <c r="F8" s="49" t="inlineStr">
        <is>
          <t>TFA [in2] = PI()/4 x sum( (d/32)^2 )   for each nozzle, d in 1/32 in</t>
        </is>
      </c>
    </row>
    <row r="9">
      <c r="A9" t="inlineStr"/>
      <c r="F9" s="27" t="inlineStr">
        <is>
          <t>Three-nozzle bit shown; enter 0 for blanked nozzles and extend the sum for more nozzles.</t>
        </is>
      </c>
    </row>
    <row r="10">
      <c r="A10" s="28" t="inlineStr">
        <is>
          <t>Nozzle 1 size</t>
        </is>
      </c>
      <c r="B10" s="31" t="n">
        <v>13</v>
      </c>
      <c r="C10" s="30" t="inlineStr"/>
      <c r="F10" s="27" t="inlineStr">
        <is>
          <t>1/32 in.</t>
        </is>
      </c>
    </row>
    <row r="11">
      <c r="A11" s="28" t="inlineStr">
        <is>
          <t>Nozzle 2 size</t>
        </is>
      </c>
      <c r="B11" s="31" t="n">
        <v>13</v>
      </c>
      <c r="C11" s="30" t="inlineStr"/>
      <c r="F11" s="27" t="inlineStr">
        <is>
          <t>1/32 in.</t>
        </is>
      </c>
    </row>
    <row r="12">
      <c r="A12" s="28" t="inlineStr">
        <is>
          <t>Nozzle 3 size</t>
        </is>
      </c>
      <c r="B12" s="31" t="n">
        <v>14</v>
      </c>
      <c r="C12" s="30" t="inlineStr"/>
      <c r="F12" s="27" t="inlineStr">
        <is>
          <t>1/32 in.</t>
        </is>
      </c>
    </row>
    <row r="13">
      <c r="A13" s="28" t="inlineStr">
        <is>
          <t>Total flow area (TFA)</t>
        </is>
      </c>
      <c r="B13" s="58">
        <f>PI()/4*(($B$10/32)^2+($B$11/32)^2+($B$12/32)^2)</f>
        <v/>
      </c>
      <c r="C13" s="30" t="inlineStr">
        <is>
          <t>in2</t>
        </is>
      </c>
      <c r="D13" s="39">
        <f>IFERROR($B$13*6.4516,NA())</f>
        <v/>
      </c>
      <c r="E13" s="30" t="inlineStr">
        <is>
          <t>cm2</t>
        </is>
      </c>
    </row>
    <row r="15">
      <c r="A15" s="25" t="inlineStr">
        <is>
          <t>Nozzle (Jet) Velocity</t>
        </is>
      </c>
      <c r="B15" s="26" t="n"/>
      <c r="C15" s="26" t="n"/>
      <c r="D15" s="26" t="n"/>
      <c r="E15" s="26" t="n"/>
      <c r="F15" s="49" t="inlineStr">
        <is>
          <t>Vn [ft/s] = 0.32086 x Q / TFA</t>
        </is>
      </c>
    </row>
    <row r="16">
      <c r="A16" t="inlineStr"/>
      <c r="F16" s="27" t="inlineStr">
        <is>
          <t>Uses TFA computed above. Typical target 350-450 ft/s for adequate bottomhole cleaning.</t>
        </is>
      </c>
    </row>
    <row r="17">
      <c r="A17" s="28" t="inlineStr">
        <is>
          <t>Flow rate (Q)</t>
        </is>
      </c>
      <c r="B17" s="31" t="n">
        <v>450</v>
      </c>
      <c r="C17" s="30" t="inlineStr">
        <is>
          <t>gpm</t>
        </is>
      </c>
      <c r="D17" s="32">
        <f>IFERROR($B$17*3.785412,NA())</f>
        <v/>
      </c>
      <c r="E17" s="30" t="inlineStr">
        <is>
          <t>L/min</t>
        </is>
      </c>
    </row>
    <row r="18">
      <c r="A18" s="28" t="inlineStr">
        <is>
          <t>Nozzle velocity (Vn)</t>
        </is>
      </c>
      <c r="B18" s="59">
        <f>0.32086*$B$17/$B$13</f>
        <v/>
      </c>
      <c r="C18" s="30" t="inlineStr">
        <is>
          <t>ft/s</t>
        </is>
      </c>
      <c r="D18" s="32">
        <f>IFERROR($B$18*0.3048,NA())</f>
        <v/>
      </c>
      <c r="E18" s="30" t="inlineStr">
        <is>
          <t>m/s</t>
        </is>
      </c>
    </row>
    <row r="20" ht="20" customHeight="1">
      <c r="A20" s="23" t="inlineStr">
        <is>
          <t>Bit Pressure Drop &amp; Horsepower</t>
        </is>
      </c>
      <c r="B20" s="24" t="n"/>
      <c r="C20" s="24" t="n"/>
      <c r="D20" s="24" t="n"/>
      <c r="E20" s="24" t="n"/>
      <c r="F20" s="24" t="n"/>
    </row>
    <row r="22">
      <c r="A22" s="25" t="inlineStr">
        <is>
          <t>Pressure Drop Across Bit</t>
        </is>
      </c>
      <c r="B22" s="26" t="n"/>
      <c r="C22" s="26" t="n"/>
      <c r="D22" s="26" t="n"/>
      <c r="E22" s="26" t="n"/>
      <c r="F22" s="49" t="inlineStr">
        <is>
          <t>dPb [psi] = Q^2 x MW / (12042 x TFA^2)</t>
        </is>
      </c>
    </row>
    <row r="23">
      <c r="A23" t="inlineStr"/>
      <c r="F23" s="27" t="inlineStr">
        <is>
          <t>Nozzle discharge coefficient 0.95 built into the constant. Uses Q and TFA from above.</t>
        </is>
      </c>
    </row>
    <row r="24">
      <c r="A24" s="28" t="inlineStr">
        <is>
          <t>Mud weight (MW)</t>
        </is>
      </c>
      <c r="B24" s="35" t="n">
        <v>12.5</v>
      </c>
      <c r="C24" s="30" t="inlineStr">
        <is>
          <t>ppg</t>
        </is>
      </c>
      <c r="D24" s="36">
        <f>IFERROR($B$24*119.8264,NA())</f>
        <v/>
      </c>
      <c r="E24" s="30" t="inlineStr">
        <is>
          <t>kg/m3</t>
        </is>
      </c>
    </row>
    <row r="25">
      <c r="A25" s="28" t="inlineStr">
        <is>
          <t>Surface (standpipe) pressure</t>
        </is>
      </c>
      <c r="B25" s="31" t="n">
        <v>3200</v>
      </c>
      <c r="C25" s="30" t="inlineStr">
        <is>
          <t>psi</t>
        </is>
      </c>
      <c r="D25" s="32">
        <f>IFERROR($B$25*6.894757,NA())</f>
        <v/>
      </c>
      <c r="E25" s="30" t="inlineStr">
        <is>
          <t>kPa</t>
        </is>
      </c>
    </row>
    <row r="26">
      <c r="A26" s="28" t="inlineStr">
        <is>
          <t>Bit pressure drop (dPb)</t>
        </is>
      </c>
      <c r="B26" s="59">
        <f>$B$17^2*$B$24/(12042*$B$13^2)</f>
        <v/>
      </c>
      <c r="C26" s="30" t="inlineStr">
        <is>
          <t>psi</t>
        </is>
      </c>
      <c r="D26" s="32">
        <f>IFERROR($B$26*6.894757,NA())</f>
        <v/>
      </c>
      <c r="E26" s="30" t="inlineStr">
        <is>
          <t>kPa</t>
        </is>
      </c>
    </row>
    <row r="27">
      <c r="A27" s="28" t="inlineStr">
        <is>
          <t>Percent of surface pressure at bit</t>
        </is>
      </c>
      <c r="B27" s="54">
        <f>$B$26/$B$25*100</f>
        <v/>
      </c>
      <c r="C27" s="30" t="inlineStr">
        <is>
          <t>%</t>
        </is>
      </c>
    </row>
    <row r="29">
      <c r="A29" s="25" t="inlineStr">
        <is>
          <t>Hydraulic Horsepower &amp; HSI</t>
        </is>
      </c>
      <c r="B29" s="26" t="n"/>
      <c r="C29" s="26" t="n"/>
      <c r="D29" s="26" t="n"/>
      <c r="E29" s="26" t="n"/>
      <c r="F29" s="49" t="inlineStr">
        <is>
          <t>HHP = P x Q / 1714;   HSI = HHP_bit / (PI()/4 x D_bit^2)</t>
        </is>
      </c>
    </row>
    <row r="30">
      <c r="A30" t="inlineStr"/>
      <c r="F30" s="27" t="inlineStr">
        <is>
          <t>HSI 2.5-5+ hp/in2 is a common target for effective PDC/roller-cone cleaning.</t>
        </is>
      </c>
    </row>
    <row r="31">
      <c r="A31" s="28" t="inlineStr">
        <is>
          <t>Bit diameter</t>
        </is>
      </c>
      <c r="B31" s="33" t="n">
        <v>8.5</v>
      </c>
      <c r="C31" s="30" t="inlineStr">
        <is>
          <t>in</t>
        </is>
      </c>
      <c r="D31" s="34">
        <f>IFERROR($B$31*25.4,NA())</f>
        <v/>
      </c>
      <c r="E31" s="30" t="inlineStr">
        <is>
          <t>mm</t>
        </is>
      </c>
    </row>
    <row r="32">
      <c r="A32" s="28" t="inlineStr">
        <is>
          <t>System hydraulic horsepower</t>
        </is>
      </c>
      <c r="B32" s="59">
        <f>$B$25*$B$17/1714</f>
        <v/>
      </c>
      <c r="C32" s="30" t="inlineStr">
        <is>
          <t>hp</t>
        </is>
      </c>
      <c r="D32" s="32">
        <f>IFERROR($B$32*0.7456999,NA())</f>
        <v/>
      </c>
      <c r="E32" s="30" t="inlineStr">
        <is>
          <t>kW</t>
        </is>
      </c>
    </row>
    <row r="33">
      <c r="A33" s="28" t="inlineStr">
        <is>
          <t>Bit hydraulic horsepower</t>
        </is>
      </c>
      <c r="B33" s="59">
        <f>$B$26*$B$17/1714</f>
        <v/>
      </c>
      <c r="C33" s="30" t="inlineStr">
        <is>
          <t>hp</t>
        </is>
      </c>
      <c r="D33" s="32">
        <f>IFERROR($B$33*0.7456999,NA())</f>
        <v/>
      </c>
      <c r="E33" s="30" t="inlineStr">
        <is>
          <t>kW</t>
        </is>
      </c>
    </row>
    <row r="34">
      <c r="A34" s="28" t="inlineStr">
        <is>
          <t>Hydraulic horsepower per in2 (HSI)</t>
        </is>
      </c>
      <c r="B34" s="51">
        <f>$B$33/(PI()/4*$B$31^2)</f>
        <v/>
      </c>
      <c r="C34" s="30" t="inlineStr">
        <is>
          <t>hp/in2</t>
        </is>
      </c>
      <c r="D34" s="42">
        <f>IFERROR($B$34*0.1155886,NA())</f>
        <v/>
      </c>
      <c r="E34" s="30" t="inlineStr">
        <is>
          <t>kW/cm2</t>
        </is>
      </c>
    </row>
    <row r="36" ht="20" customHeight="1">
      <c r="A36" s="23" t="inlineStr">
        <is>
          <t>Jet Impact Force</t>
        </is>
      </c>
      <c r="B36" s="24" t="n"/>
      <c r="C36" s="24" t="n"/>
      <c r="D36" s="24" t="n"/>
      <c r="E36" s="24" t="n"/>
      <c r="F36" s="24" t="n"/>
    </row>
    <row r="38">
      <c r="A38" s="25" t="inlineStr">
        <is>
          <t>Hydraulic Impact Force</t>
        </is>
      </c>
      <c r="B38" s="26" t="n"/>
      <c r="C38" s="26" t="n"/>
      <c r="D38" s="26" t="n"/>
      <c r="E38" s="26" t="n"/>
      <c r="F38" s="49" t="inlineStr">
        <is>
          <t>IF [lbf] = 0.01823 x Cd x Q x SQRT( MW x dPb )</t>
        </is>
      </c>
    </row>
    <row r="39">
      <c r="A39" t="inlineStr"/>
      <c r="F39" s="27" t="inlineStr">
        <is>
          <t>Uses Q, MW and dPb from above. Impact per unit bit area is a useful comparison between bit runs.</t>
        </is>
      </c>
    </row>
    <row r="40">
      <c r="A40" s="28" t="inlineStr">
        <is>
          <t>Nozzle discharge coefficient (Cd)</t>
        </is>
      </c>
      <c r="B40" s="41" t="n">
        <v>0.95</v>
      </c>
      <c r="C40" s="30" t="inlineStr"/>
    </row>
    <row r="41">
      <c r="A41" s="28" t="inlineStr">
        <is>
          <t>Jet impact force (IF)</t>
        </is>
      </c>
      <c r="B41" s="59">
        <f>0.01823*$B$40*$B$17*SQRT($B$24*$B$26)</f>
        <v/>
      </c>
      <c r="C41" s="30" t="inlineStr">
        <is>
          <t>lbf</t>
        </is>
      </c>
      <c r="D41" s="32">
        <f>IFERROR($B$41*0.004448222,NA())</f>
        <v/>
      </c>
      <c r="E41" s="30" t="inlineStr">
        <is>
          <t>kN</t>
        </is>
      </c>
    </row>
    <row r="42">
      <c r="A42" s="28" t="inlineStr">
        <is>
          <t>Impact force per in2 of bit area</t>
        </is>
      </c>
      <c r="B42" s="51">
        <f>$B$41/(PI()/4*$B$31^2)</f>
        <v/>
      </c>
      <c r="C42" s="30" t="inlineStr"/>
      <c r="F42" s="27" t="inlineStr">
        <is>
          <t>lbf/in2 of bit face.</t>
        </is>
      </c>
    </row>
    <row r="44" ht="20" customHeight="1">
      <c r="A44" s="23" t="inlineStr">
        <is>
          <t>Optimization Guidance</t>
        </is>
      </c>
      <c r="B44" s="24" t="n"/>
      <c r="C44" s="24" t="n"/>
      <c r="D44" s="24" t="n"/>
      <c r="E44" s="24" t="n"/>
      <c r="F44" s="24" t="n"/>
    </row>
    <row r="46">
      <c r="A46" s="25" t="inlineStr">
        <is>
          <t>Rules of Thumb for Bit Hydraulics Optimization</t>
        </is>
      </c>
      <c r="B46" s="26" t="n"/>
      <c r="C46" s="26" t="n"/>
      <c r="D46" s="26" t="n"/>
      <c r="E46" s="26" t="n"/>
      <c r="F46" s="26" t="n"/>
    </row>
    <row r="47">
      <c r="A47" t="inlineStr"/>
      <c r="F47" s="27" t="inlineStr">
        <is>
          <t>Compare the 'percent of surface pressure at bit' output above against these targets.</t>
        </is>
      </c>
    </row>
    <row r="48">
      <c r="A48" s="27" t="inlineStr">
        <is>
          <t>Maximum bit hydraulic horsepower:</t>
        </is>
      </c>
      <c r="F48" s="27" t="inlineStr">
        <is>
          <t>achieved when dPb is about 65% of surface pressure (friction exponent u ~ 1.86).</t>
        </is>
      </c>
    </row>
    <row r="49">
      <c r="A49" s="27" t="inlineStr">
        <is>
          <t>Maximum jet impact force:</t>
        </is>
      </c>
      <c r="F49" s="27" t="inlineStr">
        <is>
          <t>achieved when dPb is about 48% of surface pressure.</t>
        </is>
      </c>
    </row>
    <row r="50">
      <c r="A50" s="27" t="inlineStr">
        <is>
          <t>Practical window:</t>
        </is>
      </c>
      <c r="F50" s="27" t="inlineStr">
        <is>
          <t>most operators size nozzles for 50-65% of surface pressure at the bit, subject to minimum annular velocity for hole cleaning and maximum pump pressure/liner rating.</t>
        </is>
      </c>
    </row>
    <row r="51">
      <c r="A51" s="27" t="inlineStr">
        <is>
          <t>Nozzle selection:</t>
        </is>
      </c>
      <c r="F51" s="27" t="inlineStr">
        <is>
          <t>adjust nozzle sizes (TFA) rather than flow rate first; flow rate is usually set by hole cleaning and motor/MWD requirements.</t>
        </is>
      </c>
    </row>
  </sheetData>
  <sheetProtection selectLockedCells="0" selectUnlockedCells="0" sheet="1" objects="0" insertRows="1" insertHyperlinks="1" autoFilter="1" scenarios="0" formatColumns="0" deleteColumns="1" insertColumns="1" pivotTables="1" deleteRows="1" formatCells="1" formatRows="0" sort="1"/>
  <mergeCells count="6">
    <mergeCell ref="A2:F2"/>
    <mergeCell ref="A36:F36"/>
    <mergeCell ref="A44:F44"/>
    <mergeCell ref="A1:F1"/>
    <mergeCell ref="A6:F6"/>
    <mergeCell ref="A20:F20"/>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13.xml><?xml version="1.0" encoding="utf-8"?>
<worksheet xmlns="http://schemas.openxmlformats.org/spreadsheetml/2006/main">
  <sheetPr>
    <tabColor rgb="002E75B6"/>
    <outlinePr summaryBelow="1" summaryRight="1"/>
    <pageSetUpPr/>
  </sheetPr>
  <dimension ref="A1:F92"/>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Drill String Weight, Tension &amp; Vibration</t>
        </is>
      </c>
      <c r="B1" s="2" t="n"/>
      <c r="C1" s="2" t="n"/>
      <c r="D1" s="2" t="n"/>
      <c r="E1" s="2" t="n"/>
      <c r="F1" s="2" t="n"/>
    </row>
    <row r="2">
      <c r="A2" s="20" t="inlineStr">
        <is>
          <t>Buoyancy, hook load, margin of overpull, collar length for WOB, stretch, slip crush, critical RPM, ton-miles</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Buoyancy &amp; String Weight</t>
        </is>
      </c>
      <c r="B6" s="24" t="n"/>
      <c r="C6" s="24" t="n"/>
      <c r="D6" s="24" t="n"/>
      <c r="E6" s="24" t="n"/>
      <c r="F6" s="24" t="n"/>
    </row>
    <row r="8">
      <c r="A8" s="25" t="inlineStr">
        <is>
          <t>Buoyancy Factor</t>
        </is>
      </c>
      <c r="B8" s="26" t="n"/>
      <c r="C8" s="26" t="n"/>
      <c r="D8" s="26" t="n"/>
      <c r="E8" s="26" t="n"/>
      <c r="F8" s="49" t="inlineStr">
        <is>
          <t>BF = (65.5 - MW) / 65.5</t>
        </is>
      </c>
    </row>
    <row r="9">
      <c r="A9" t="inlineStr"/>
      <c r="F9" s="27" t="inlineStr">
        <is>
          <t>65.5 ppg = density of steel. Multiply air weights by BF to get buoyed weight in mud.</t>
        </is>
      </c>
    </row>
    <row r="10">
      <c r="A10" s="28" t="inlineStr">
        <is>
          <t>Mud weight (MW)</t>
        </is>
      </c>
      <c r="B10" s="35" t="n">
        <v>12.5</v>
      </c>
      <c r="C10" s="30" t="inlineStr">
        <is>
          <t>ppg</t>
        </is>
      </c>
      <c r="D10" s="36">
        <f>IFERROR($B$10*119.8264,NA())</f>
        <v/>
      </c>
      <c r="E10" s="30" t="inlineStr">
        <is>
          <t>kg/m3</t>
        </is>
      </c>
    </row>
    <row r="11">
      <c r="A11" s="28" t="inlineStr">
        <is>
          <t>Buoyancy factor (BF)</t>
        </is>
      </c>
      <c r="B11" s="58">
        <f>(65.5-$B$10)/65.5</f>
        <v/>
      </c>
      <c r="C11" s="30" t="inlineStr"/>
    </row>
    <row r="13">
      <c r="A13" s="25" t="inlineStr">
        <is>
          <t>Buoyed String Weight (Hook Load)</t>
        </is>
      </c>
      <c r="B13" s="26" t="n"/>
      <c r="C13" s="26" t="n"/>
      <c r="D13" s="26" t="n"/>
      <c r="E13" s="26" t="n"/>
      <c r="F13" s="49" t="inlineStr">
        <is>
          <t>W_buoyed = (L_dp x W_dp + L_dc x W_dc) x BF</t>
        </is>
      </c>
    </row>
    <row r="14">
      <c r="A14" t="inlineStr"/>
      <c r="F14" s="27" t="inlineStr">
        <is>
          <t>Air weights per foot include tool joints (use 'approximate weight' from pipe tables). Add HWDP as a third term if run.</t>
        </is>
      </c>
    </row>
    <row r="15">
      <c r="A15" s="28" t="inlineStr">
        <is>
          <t>Drill pipe length</t>
        </is>
      </c>
      <c r="B15" s="31" t="n">
        <v>9400</v>
      </c>
      <c r="C15" s="30" t="inlineStr">
        <is>
          <t>ft</t>
        </is>
      </c>
      <c r="D15" s="32">
        <f>IFERROR($B$15*0.3048,NA())</f>
        <v/>
      </c>
      <c r="E15" s="30" t="inlineStr">
        <is>
          <t>m</t>
        </is>
      </c>
    </row>
    <row r="16">
      <c r="A16" s="28" t="inlineStr">
        <is>
          <t>Drill pipe weight (incl. tool joints)</t>
        </is>
      </c>
      <c r="B16" s="35" t="n">
        <v>20.89</v>
      </c>
      <c r="C16" s="30" t="inlineStr">
        <is>
          <t>lb/ft</t>
        </is>
      </c>
      <c r="D16" s="36">
        <f>IFERROR($B$16*1.488164,NA())</f>
        <v/>
      </c>
      <c r="E16" s="30" t="inlineStr">
        <is>
          <t>kg/m</t>
        </is>
      </c>
    </row>
    <row r="17">
      <c r="A17" s="28" t="inlineStr">
        <is>
          <t>Drill collar length</t>
        </is>
      </c>
      <c r="B17" s="31" t="n">
        <v>600</v>
      </c>
      <c r="C17" s="30" t="inlineStr">
        <is>
          <t>ft</t>
        </is>
      </c>
      <c r="D17" s="32">
        <f>IFERROR($B$17*0.3048,NA())</f>
        <v/>
      </c>
      <c r="E17" s="30" t="inlineStr">
        <is>
          <t>m</t>
        </is>
      </c>
    </row>
    <row r="18">
      <c r="A18" s="28" t="inlineStr">
        <is>
          <t>Drill collar weight</t>
        </is>
      </c>
      <c r="B18" s="35" t="n">
        <v>92</v>
      </c>
      <c r="C18" s="30" t="inlineStr">
        <is>
          <t>lb/ft</t>
        </is>
      </c>
      <c r="D18" s="36">
        <f>IFERROR($B$18*1.488164,NA())</f>
        <v/>
      </c>
      <c r="E18" s="30" t="inlineStr">
        <is>
          <t>kg/m</t>
        </is>
      </c>
      <c r="F18" s="27" t="inlineStr">
        <is>
          <t>6-1/2 in x 2-13/16 in collars.</t>
        </is>
      </c>
    </row>
    <row r="19">
      <c r="A19" s="28" t="inlineStr">
        <is>
          <t>Mud weight (MW)</t>
        </is>
      </c>
      <c r="B19" s="35" t="n">
        <v>12.5</v>
      </c>
      <c r="C19" s="30" t="inlineStr">
        <is>
          <t>ppg</t>
        </is>
      </c>
      <c r="D19" s="36">
        <f>IFERROR($B$19*119.8264,NA())</f>
        <v/>
      </c>
      <c r="E19" s="30" t="inlineStr">
        <is>
          <t>kg/m3</t>
        </is>
      </c>
    </row>
    <row r="20">
      <c r="A20" s="28" t="inlineStr">
        <is>
          <t>Buoyancy factor (BF)</t>
        </is>
      </c>
      <c r="B20" s="58">
        <f>(65.5-$B$19)/65.5</f>
        <v/>
      </c>
      <c r="C20" s="30" t="inlineStr"/>
    </row>
    <row r="21">
      <c r="A21" s="28" t="inlineStr">
        <is>
          <t>Buoyed string weight</t>
        </is>
      </c>
      <c r="B21" s="59">
        <f>($B$15*$B$16+$B$17*$B$18)*$B$20</f>
        <v/>
      </c>
      <c r="C21" s="30" t="inlineStr">
        <is>
          <t>lbf</t>
        </is>
      </c>
      <c r="D21" s="32">
        <f>IFERROR($B$21*0.004448222,NA())</f>
        <v/>
      </c>
      <c r="E21" s="30" t="inlineStr">
        <is>
          <t>kN</t>
        </is>
      </c>
    </row>
    <row r="23" ht="20" customHeight="1">
      <c r="A23" s="23" t="inlineStr">
        <is>
          <t>Tension, Overpull &amp; Slips</t>
        </is>
      </c>
      <c r="B23" s="24" t="n"/>
      <c r="C23" s="24" t="n"/>
      <c r="D23" s="24" t="n"/>
      <c r="E23" s="24" t="n"/>
      <c r="F23" s="24" t="n"/>
    </row>
    <row r="25">
      <c r="A25" s="25" t="inlineStr">
        <is>
          <t>Maximum Allowable Pull &amp; Margin of Overpull</t>
        </is>
      </c>
      <c r="B25" s="26" t="n"/>
      <c r="C25" s="26" t="n"/>
      <c r="D25" s="26" t="n"/>
      <c r="E25" s="26" t="n"/>
      <c r="F25" s="49" t="inlineStr">
        <is>
          <t>Max pull = T_yield x DF;   MOP = Max pull - buoyed hook load;   SF = T_yield / hook load</t>
        </is>
      </c>
    </row>
    <row r="26">
      <c r="A26" t="inlineStr"/>
      <c r="F26" s="27" t="inlineStr">
        <is>
          <t>T_yield = pipe body tensile yield for the weakest (usually top) joint and wear class. DF of 0.90 on new pipe is common; use premium-class ratings for worn pipe. Hook load defaults to the buoyed string weight computed above.</t>
        </is>
      </c>
    </row>
    <row r="27">
      <c r="A27" s="28" t="inlineStr">
        <is>
          <t>Pipe body tensile yield</t>
        </is>
      </c>
      <c r="B27" s="31" t="n">
        <v>553830</v>
      </c>
      <c r="C27" s="30" t="inlineStr">
        <is>
          <t>lbf</t>
        </is>
      </c>
      <c r="D27" s="32">
        <f>IFERROR($B$27*0.004448222,NA())</f>
        <v/>
      </c>
      <c r="E27" s="30" t="inlineStr">
        <is>
          <t>kN</t>
        </is>
      </c>
      <c r="F27" s="27" t="inlineStr">
        <is>
          <t>5 in 19.5 lb/ft G-105, new.</t>
        </is>
      </c>
    </row>
    <row r="28">
      <c r="A28" s="28" t="inlineStr">
        <is>
          <t>Tension design factor (DF)</t>
        </is>
      </c>
      <c r="B28" s="41" t="n">
        <v>0.9</v>
      </c>
      <c r="C28" s="30" t="inlineStr"/>
    </row>
    <row r="29">
      <c r="A29" s="28" t="inlineStr">
        <is>
          <t>Hook load (buoyed)</t>
        </is>
      </c>
      <c r="B29" s="31" t="n">
        <v>203400</v>
      </c>
      <c r="C29" s="30" t="inlineStr">
        <is>
          <t>lbf</t>
        </is>
      </c>
      <c r="D29" s="32">
        <f>IFERROR($B$29*0.004448222,NA())</f>
        <v/>
      </c>
      <c r="E29" s="30" t="inlineStr">
        <is>
          <t>kN</t>
        </is>
      </c>
    </row>
    <row r="30">
      <c r="A30" s="28" t="inlineStr">
        <is>
          <t>Maximum allowable pull</t>
        </is>
      </c>
      <c r="B30" s="59">
        <f>$B$27*$B$28</f>
        <v/>
      </c>
      <c r="C30" s="30" t="inlineStr">
        <is>
          <t>lbf</t>
        </is>
      </c>
      <c r="D30" s="32">
        <f>IFERROR($B$30*0.004448222,NA())</f>
        <v/>
      </c>
      <c r="E30" s="30" t="inlineStr">
        <is>
          <t>kN</t>
        </is>
      </c>
    </row>
    <row r="31">
      <c r="A31" s="28" t="inlineStr">
        <is>
          <t>Margin of overpull (MOP)</t>
        </is>
      </c>
      <c r="B31" s="59">
        <f>$B$30-$B$29</f>
        <v/>
      </c>
      <c r="C31" s="30" t="inlineStr">
        <is>
          <t>lbf</t>
        </is>
      </c>
      <c r="D31" s="32">
        <f>IFERROR($B$31*0.004448222,NA())</f>
        <v/>
      </c>
      <c r="E31" s="30" t="inlineStr">
        <is>
          <t>kN</t>
        </is>
      </c>
      <c r="F31" s="27" t="inlineStr">
        <is>
          <t>Keep at least 50,000-100,000 lbf for stuck-pipe contingency.</t>
        </is>
      </c>
    </row>
    <row r="32">
      <c r="A32" s="28" t="inlineStr">
        <is>
          <t>Safety factor in tension</t>
        </is>
      </c>
      <c r="B32" s="51">
        <f>$B$27/$B$29</f>
        <v/>
      </c>
      <c r="C32" s="30" t="inlineStr"/>
    </row>
    <row r="34">
      <c r="A34" s="25" t="inlineStr">
        <is>
          <t>Drill Collar Length for Desired WOB</t>
        </is>
      </c>
      <c r="B34" s="26" t="n"/>
      <c r="C34" s="26" t="n"/>
      <c r="D34" s="26" t="n"/>
      <c r="E34" s="26" t="n"/>
      <c r="F34" s="49" t="inlineStr">
        <is>
          <t>L_dc [ft] = WOB x SF / (W_dc x BF x COS(angle))</t>
        </is>
      </c>
    </row>
    <row r="35">
      <c r="A35" t="inlineStr"/>
      <c r="F35" s="27" t="inlineStr">
        <is>
          <t>Keeps the neutral point inside the collars (drill pipe never in compression). SF 1.10-1.20 places the neutral point 10-20% below the top of the collars.</t>
        </is>
      </c>
    </row>
    <row r="36">
      <c r="A36" s="28" t="inlineStr">
        <is>
          <t>Desired weight on bit (WOB)</t>
        </is>
      </c>
      <c r="B36" s="31" t="n">
        <v>45000</v>
      </c>
      <c r="C36" s="30" t="inlineStr">
        <is>
          <t>lbf</t>
        </is>
      </c>
      <c r="D36" s="32">
        <f>IFERROR($B$36*0.004448222,NA())</f>
        <v/>
      </c>
      <c r="E36" s="30" t="inlineStr">
        <is>
          <t>kN</t>
        </is>
      </c>
    </row>
    <row r="37">
      <c r="A37" s="28" t="inlineStr">
        <is>
          <t>Safety factor (SF)</t>
        </is>
      </c>
      <c r="B37" s="41" t="n">
        <v>1.15</v>
      </c>
      <c r="C37" s="30" t="inlineStr"/>
    </row>
    <row r="38">
      <c r="A38" s="28" t="inlineStr">
        <is>
          <t>Drill collar weight</t>
        </is>
      </c>
      <c r="B38" s="35" t="n">
        <v>92</v>
      </c>
      <c r="C38" s="30" t="inlineStr">
        <is>
          <t>lb/ft</t>
        </is>
      </c>
      <c r="D38" s="36">
        <f>IFERROR($B$38*1.488164,NA())</f>
        <v/>
      </c>
      <c r="E38" s="30" t="inlineStr">
        <is>
          <t>kg/m</t>
        </is>
      </c>
    </row>
    <row r="39">
      <c r="A39" s="28" t="inlineStr">
        <is>
          <t>Mud weight (MW)</t>
        </is>
      </c>
      <c r="B39" s="35" t="n">
        <v>12.5</v>
      </c>
      <c r="C39" s="30" t="inlineStr">
        <is>
          <t>ppg</t>
        </is>
      </c>
      <c r="D39" s="36">
        <f>IFERROR($B$39*119.8264,NA())</f>
        <v/>
      </c>
      <c r="E39" s="30" t="inlineStr">
        <is>
          <t>kg/m3</t>
        </is>
      </c>
    </row>
    <row r="40">
      <c r="A40" s="28" t="inlineStr">
        <is>
          <t>Hole inclination</t>
        </is>
      </c>
      <c r="B40" s="37" t="n">
        <v>10</v>
      </c>
      <c r="C40" s="30" t="inlineStr">
        <is>
          <t>deg</t>
        </is>
      </c>
    </row>
    <row r="41">
      <c r="A41" s="28" t="inlineStr">
        <is>
          <t>Drill collar length required</t>
        </is>
      </c>
      <c r="B41" s="59">
        <f>$B$36*$B$37/($B$38*(65.5-$B$39)/65.5*COS(RADIANS($B$40)))</f>
        <v/>
      </c>
      <c r="C41" s="30" t="inlineStr">
        <is>
          <t>ft</t>
        </is>
      </c>
      <c r="D41" s="32">
        <f>IFERROR($B$41*0.3048,NA())</f>
        <v/>
      </c>
      <c r="E41" s="30" t="inlineStr">
        <is>
          <t>m</t>
        </is>
      </c>
    </row>
    <row r="43">
      <c r="A43" s="25" t="inlineStr">
        <is>
          <t>Slip Crush Ratio</t>
        </is>
      </c>
      <c r="B43" s="26" t="n"/>
      <c r="C43" s="26" t="n"/>
      <c r="D43" s="26" t="n"/>
      <c r="E43" s="26" t="n"/>
      <c r="F43" s="49" t="inlineStr">
        <is>
          <t>SH/SA = SQRT( 1 + D x K/(2 x Ls) + (D x K/(2 x Ls))^2 );   Max static load = T_yield / (SH/SA)</t>
        </is>
      </c>
    </row>
    <row r="44">
      <c r="A44" t="inlineStr"/>
      <c r="F44" s="27" t="inlineStr">
        <is>
          <t>Reinhold-Spiri (API RP 7G) hoop-to-axial stress ratio. K = lateral load factor (~4.0 for 9 deg 27.5 min taper, friction 0.08); Ls = slip contact length. Hook loads above the max static load risk crushing the pipe in the slips.</t>
        </is>
      </c>
    </row>
    <row r="45">
      <c r="A45" s="28" t="inlineStr">
        <is>
          <t>Pipe outside diameter (D)</t>
        </is>
      </c>
      <c r="B45" s="33" t="n">
        <v>5</v>
      </c>
      <c r="C45" s="30" t="inlineStr">
        <is>
          <t>in</t>
        </is>
      </c>
      <c r="D45" s="34">
        <f>IFERROR($B$45*25.4,NA())</f>
        <v/>
      </c>
      <c r="E45" s="30" t="inlineStr">
        <is>
          <t>mm</t>
        </is>
      </c>
    </row>
    <row r="46">
      <c r="A46" s="28" t="inlineStr">
        <is>
          <t>Lateral load factor (K)</t>
        </is>
      </c>
      <c r="B46" s="41" t="n">
        <v>4</v>
      </c>
      <c r="C46" s="30" t="inlineStr"/>
    </row>
    <row r="47">
      <c r="A47" s="28" t="inlineStr">
        <is>
          <t>Slip contact length (Ls)</t>
        </is>
      </c>
      <c r="B47" s="37" t="n">
        <v>16</v>
      </c>
      <c r="C47" s="30" t="inlineStr">
        <is>
          <t>in</t>
        </is>
      </c>
      <c r="D47" s="40">
        <f>IFERROR($B$47*25.4,NA())</f>
        <v/>
      </c>
      <c r="E47" s="30" t="inlineStr">
        <is>
          <t>mm</t>
        </is>
      </c>
    </row>
    <row r="48">
      <c r="A48" s="28" t="inlineStr">
        <is>
          <t>Pipe body tensile yield</t>
        </is>
      </c>
      <c r="B48" s="31" t="n">
        <v>553830</v>
      </c>
      <c r="C48" s="30" t="inlineStr">
        <is>
          <t>lbf</t>
        </is>
      </c>
      <c r="D48" s="32">
        <f>IFERROR($B$48*0.004448222,NA())</f>
        <v/>
      </c>
      <c r="E48" s="30" t="inlineStr">
        <is>
          <t>kN</t>
        </is>
      </c>
    </row>
    <row r="49">
      <c r="A49" s="28" t="inlineStr">
        <is>
          <t>Slip crush ratio (SH/SA)</t>
        </is>
      </c>
      <c r="B49" s="50">
        <f>SQRT(1+$B$45*$B$46/(2*$B$47)+($B$45*$B$46/(2*$B$47))^2)</f>
        <v/>
      </c>
      <c r="C49" s="30" t="inlineStr"/>
    </row>
    <row r="50">
      <c r="A50" s="28" t="inlineStr">
        <is>
          <t>Max static hook load in slips</t>
        </is>
      </c>
      <c r="B50" s="59">
        <f>$B$48/$B$49</f>
        <v/>
      </c>
      <c r="C50" s="30" t="inlineStr">
        <is>
          <t>lbf</t>
        </is>
      </c>
      <c r="D50" s="32">
        <f>IFERROR($B$50*0.004448222,NA())</f>
        <v/>
      </c>
      <c r="E50" s="30" t="inlineStr">
        <is>
          <t>kN</t>
        </is>
      </c>
    </row>
    <row r="52" ht="20" customHeight="1">
      <c r="A52" s="23" t="inlineStr">
        <is>
          <t>Stretch</t>
        </is>
      </c>
      <c r="B52" s="24" t="n"/>
      <c r="C52" s="24" t="n"/>
      <c r="D52" s="24" t="n"/>
      <c r="E52" s="24" t="n"/>
      <c r="F52" s="24" t="n"/>
    </row>
    <row r="54">
      <c r="A54" s="25" t="inlineStr">
        <is>
          <t>Drill Pipe Stretch Under Pull</t>
        </is>
      </c>
      <c r="B54" s="26" t="n"/>
      <c r="C54" s="26" t="n"/>
      <c r="D54" s="26" t="n"/>
      <c r="E54" s="26" t="n"/>
      <c r="F54" s="49" t="inlineStr">
        <is>
          <t>e [in] = P x L x 12 / (A x E),   A = PI()/4 x (OD^2 - ID^2),   E = 29.6e6 psi</t>
        </is>
      </c>
    </row>
    <row r="55">
      <c r="A55" t="inlineStr"/>
      <c r="F55" s="27" t="inlineStr">
        <is>
          <t>Elastic stretch of the free (unstuck) length under an applied pull P. Also used inverted to find stuck point: L_free = e x A x E / (12 x P).</t>
        </is>
      </c>
    </row>
    <row r="56">
      <c r="A56" s="28" t="inlineStr">
        <is>
          <t>Applied pull (P)</t>
        </is>
      </c>
      <c r="B56" s="31" t="n">
        <v>50000</v>
      </c>
      <c r="C56" s="30" t="inlineStr">
        <is>
          <t>lbf</t>
        </is>
      </c>
      <c r="D56" s="32">
        <f>IFERROR($B$56*0.004448222,NA())</f>
        <v/>
      </c>
      <c r="E56" s="30" t="inlineStr">
        <is>
          <t>kN</t>
        </is>
      </c>
      <c r="F56" s="27" t="inlineStr">
        <is>
          <t>Differential pull above the string's own hanging weight.</t>
        </is>
      </c>
    </row>
    <row r="57">
      <c r="A57" s="28" t="inlineStr">
        <is>
          <t>Free pipe length (L)</t>
        </is>
      </c>
      <c r="B57" s="31" t="n">
        <v>10000</v>
      </c>
      <c r="C57" s="30" t="inlineStr">
        <is>
          <t>ft</t>
        </is>
      </c>
      <c r="D57" s="32">
        <f>IFERROR($B$57*0.3048,NA())</f>
        <v/>
      </c>
      <c r="E57" s="30" t="inlineStr">
        <is>
          <t>m</t>
        </is>
      </c>
    </row>
    <row r="58">
      <c r="A58" s="28" t="inlineStr">
        <is>
          <t>Pipe outside diameter (OD)</t>
        </is>
      </c>
      <c r="B58" s="33" t="n">
        <v>5</v>
      </c>
      <c r="C58" s="30" t="inlineStr">
        <is>
          <t>in</t>
        </is>
      </c>
      <c r="D58" s="34">
        <f>IFERROR($B$58*25.4,NA())</f>
        <v/>
      </c>
      <c r="E58" s="30" t="inlineStr">
        <is>
          <t>mm</t>
        </is>
      </c>
    </row>
    <row r="59">
      <c r="A59" s="28" t="inlineStr">
        <is>
          <t>Pipe inside diameter (ID)</t>
        </is>
      </c>
      <c r="B59" s="33" t="n">
        <v>4.276</v>
      </c>
      <c r="C59" s="30" t="inlineStr">
        <is>
          <t>in</t>
        </is>
      </c>
      <c r="D59" s="34">
        <f>IFERROR($B$59*25.4,NA())</f>
        <v/>
      </c>
      <c r="E59" s="30" t="inlineStr">
        <is>
          <t>mm</t>
        </is>
      </c>
    </row>
    <row r="60">
      <c r="A60" s="28" t="inlineStr">
        <is>
          <t>Pipe wall cross-section area (A)</t>
        </is>
      </c>
      <c r="B60" s="50">
        <f>PI()/4*($B$58^2-$B$59^2)</f>
        <v/>
      </c>
      <c r="C60" s="30" t="inlineStr">
        <is>
          <t>in2</t>
        </is>
      </c>
      <c r="D60" s="34">
        <f>IFERROR($B$60*6.4516,NA())</f>
        <v/>
      </c>
      <c r="E60" s="30" t="inlineStr">
        <is>
          <t>cm2</t>
        </is>
      </c>
    </row>
    <row r="61">
      <c r="A61" s="28" t="inlineStr">
        <is>
          <t>Stretch</t>
        </is>
      </c>
      <c r="B61" s="54">
        <f>$B$56*$B$57*12/($B$60*29600000)</f>
        <v/>
      </c>
      <c r="C61" s="30" t="inlineStr">
        <is>
          <t>in</t>
        </is>
      </c>
      <c r="D61" s="40">
        <f>IFERROR($B$61*25.4,NA())</f>
        <v/>
      </c>
      <c r="E61" s="30" t="inlineStr">
        <is>
          <t>mm</t>
        </is>
      </c>
    </row>
    <row r="63">
      <c r="A63" s="25" t="inlineStr">
        <is>
          <t>Stretch Due to Own Weight (Free-Hanging)</t>
        </is>
      </c>
      <c r="B63" s="26" t="n"/>
      <c r="C63" s="26" t="n"/>
      <c r="D63" s="26" t="n"/>
      <c r="E63" s="26" t="n"/>
      <c r="F63" s="49" t="inlineStr">
        <is>
          <t>e [in] = 12 x w x L^2 x BF / (2 x A x E)</t>
        </is>
      </c>
    </row>
    <row r="64">
      <c r="A64" t="inlineStr"/>
      <c r="F64" s="27" t="inlineStr">
        <is>
          <t>Average tension over the string is half the hanging weight, hence the factor 2. w = air weight per foot; buoyancy applied through BF.</t>
        </is>
      </c>
    </row>
    <row r="65">
      <c r="A65" s="28" t="inlineStr">
        <is>
          <t>Pipe weight in air</t>
        </is>
      </c>
      <c r="B65" s="35" t="n">
        <v>19.5</v>
      </c>
      <c r="C65" s="30" t="inlineStr">
        <is>
          <t>lb/ft</t>
        </is>
      </c>
      <c r="D65" s="36">
        <f>IFERROR($B$65*1.488164,NA())</f>
        <v/>
      </c>
      <c r="E65" s="30" t="inlineStr">
        <is>
          <t>kg/m</t>
        </is>
      </c>
    </row>
    <row r="66">
      <c r="A66" s="28" t="inlineStr">
        <is>
          <t>String length (L)</t>
        </is>
      </c>
      <c r="B66" s="31" t="n">
        <v>10000</v>
      </c>
      <c r="C66" s="30" t="inlineStr">
        <is>
          <t>ft</t>
        </is>
      </c>
      <c r="D66" s="32">
        <f>IFERROR($B$66*0.3048,NA())</f>
        <v/>
      </c>
      <c r="E66" s="30" t="inlineStr">
        <is>
          <t>m</t>
        </is>
      </c>
    </row>
    <row r="67">
      <c r="A67" s="28" t="inlineStr">
        <is>
          <t>Mud weight (MW)</t>
        </is>
      </c>
      <c r="B67" s="35" t="n">
        <v>12.5</v>
      </c>
      <c r="C67" s="30" t="inlineStr">
        <is>
          <t>ppg</t>
        </is>
      </c>
      <c r="D67" s="36">
        <f>IFERROR($B$67*119.8264,NA())</f>
        <v/>
      </c>
      <c r="E67" s="30" t="inlineStr">
        <is>
          <t>kg/m3</t>
        </is>
      </c>
    </row>
    <row r="68">
      <c r="A68" s="28" t="inlineStr">
        <is>
          <t>Pipe wall cross-section area (A)</t>
        </is>
      </c>
      <c r="B68" s="33" t="n">
        <v>5.275</v>
      </c>
      <c r="C68" s="30" t="inlineStr">
        <is>
          <t>in2</t>
        </is>
      </c>
      <c r="D68" s="34">
        <f>IFERROR($B$68*6.4516,NA())</f>
        <v/>
      </c>
      <c r="E68" s="30" t="inlineStr">
        <is>
          <t>cm2</t>
        </is>
      </c>
    </row>
    <row r="69">
      <c r="A69" s="28" t="inlineStr">
        <is>
          <t>Stretch due to own weight</t>
        </is>
      </c>
      <c r="B69" s="54">
        <f>12*$B$65*$B$66^2*(65.5-$B$67)/65.5/(2*$B$68*29600000)</f>
        <v/>
      </c>
      <c r="C69" s="30" t="inlineStr">
        <is>
          <t>in</t>
        </is>
      </c>
      <c r="D69" s="40">
        <f>IFERROR($B$69*25.4,NA())</f>
        <v/>
      </c>
      <c r="E69" s="30" t="inlineStr">
        <is>
          <t>mm</t>
        </is>
      </c>
    </row>
    <row r="71" ht="20" customHeight="1">
      <c r="A71" s="23" t="inlineStr">
        <is>
          <t>Vibration &amp; Ton-Miles</t>
        </is>
      </c>
      <c r="B71" s="24" t="n"/>
      <c r="C71" s="24" t="n"/>
      <c r="D71" s="24" t="n"/>
      <c r="E71" s="24" t="n"/>
      <c r="F71" s="24" t="n"/>
    </row>
    <row r="73">
      <c r="A73" s="25" t="inlineStr">
        <is>
          <t>Critical Rotary Speed (Transverse, One Joint)</t>
        </is>
      </c>
      <c r="B73" s="26" t="n"/>
      <c r="C73" s="26" t="n"/>
      <c r="D73" s="26" t="n"/>
      <c r="E73" s="26" t="n"/>
      <c r="F73" s="49" t="inlineStr">
        <is>
          <t>RPM_crit = 33055 x SQRT(OD^2 + ID^2) / L^2   (L = joint length in ft)</t>
        </is>
      </c>
    </row>
    <row r="74">
      <c r="A74" t="inlineStr"/>
      <c r="F74" s="27" t="inlineStr">
        <is>
          <t>Lubinski-style field formula for the first transverse (lateral) mode of one joint between tool joints; equivalent to 4.76e6 x SQRT(OD^2+ID^2)/L^2 with L in inches. Avoid running within about +/-15% of the critical speed; axial and higher modes also exist, so treat as a screening value only.</t>
        </is>
      </c>
    </row>
    <row r="75">
      <c r="A75" s="28" t="inlineStr">
        <is>
          <t>Pipe outside diameter (OD)</t>
        </is>
      </c>
      <c r="B75" s="33" t="n">
        <v>5</v>
      </c>
      <c r="C75" s="30" t="inlineStr">
        <is>
          <t>in</t>
        </is>
      </c>
      <c r="D75" s="34">
        <f>IFERROR($B$75*25.4,NA())</f>
        <v/>
      </c>
      <c r="E75" s="30" t="inlineStr">
        <is>
          <t>mm</t>
        </is>
      </c>
    </row>
    <row r="76">
      <c r="A76" s="28" t="inlineStr">
        <is>
          <t>Pipe inside diameter (ID)</t>
        </is>
      </c>
      <c r="B76" s="33" t="n">
        <v>4.276</v>
      </c>
      <c r="C76" s="30" t="inlineStr">
        <is>
          <t>in</t>
        </is>
      </c>
      <c r="D76" s="34">
        <f>IFERROR($B$76*25.4,NA())</f>
        <v/>
      </c>
      <c r="E76" s="30" t="inlineStr">
        <is>
          <t>mm</t>
        </is>
      </c>
    </row>
    <row r="77">
      <c r="A77" s="28" t="inlineStr">
        <is>
          <t>Joint length (L)</t>
        </is>
      </c>
      <c r="B77" s="37" t="n">
        <v>31</v>
      </c>
      <c r="C77" s="30" t="inlineStr">
        <is>
          <t>ft</t>
        </is>
      </c>
      <c r="D77" s="40">
        <f>IFERROR($B$77*0.3048,NA())</f>
        <v/>
      </c>
      <c r="E77" s="30" t="inlineStr">
        <is>
          <t>m</t>
        </is>
      </c>
      <c r="F77" s="27" t="inlineStr">
        <is>
          <t>Range 2 joint ~31 ft.</t>
        </is>
      </c>
    </row>
    <row r="78">
      <c r="A78" s="28" t="inlineStr">
        <is>
          <t>Critical rotary speed</t>
        </is>
      </c>
      <c r="B78" s="59">
        <f>33055*SQRT($B$75^2+$B$76^2)/$B$77^2</f>
        <v/>
      </c>
      <c r="C78" s="30" t="inlineStr">
        <is>
          <t>RPM</t>
        </is>
      </c>
    </row>
    <row r="80">
      <c r="A80" s="25" t="inlineStr">
        <is>
          <t>Ton-Miles for a Round Trip</t>
        </is>
      </c>
      <c r="B80" s="26" t="n"/>
      <c r="C80" s="26" t="n"/>
      <c r="D80" s="26" t="n"/>
      <c r="E80" s="26" t="n"/>
      <c r="F80" s="49" t="inlineStr">
        <is>
          <t>T_rt = W_p x D x (L_s + D) / 10560000 + D x (M + C/2) / 2640000</t>
        </is>
      </c>
    </row>
    <row r="81">
      <c r="A81" t="inlineStr"/>
      <c r="F81" s="27" t="inlineStr">
        <is>
          <t>Standard drilling-line service formula. W_p = buoyed drill pipe weight per foot, D = depth, L_s = stand length, M = traveling block+hook weight, C = buoyed excess collar (and HWDP) weight over the same length of drill pipe. Drilling/coring/short trips are counted as multiples of round-trip ton-miles per the standard schedule.</t>
        </is>
      </c>
    </row>
    <row r="82">
      <c r="A82" s="28" t="inlineStr">
        <is>
          <t>Drill pipe weight (incl. tool joints)</t>
        </is>
      </c>
      <c r="B82" s="35" t="n">
        <v>20.89</v>
      </c>
      <c r="C82" s="30" t="inlineStr">
        <is>
          <t>lb/ft</t>
        </is>
      </c>
      <c r="D82" s="36">
        <f>IFERROR($B$82*1.488164,NA())</f>
        <v/>
      </c>
      <c r="E82" s="30" t="inlineStr">
        <is>
          <t>kg/m</t>
        </is>
      </c>
    </row>
    <row r="83">
      <c r="A83" s="28" t="inlineStr">
        <is>
          <t>Mud weight (MW)</t>
        </is>
      </c>
      <c r="B83" s="35" t="n">
        <v>12.5</v>
      </c>
      <c r="C83" s="30" t="inlineStr">
        <is>
          <t>ppg</t>
        </is>
      </c>
      <c r="D83" s="36">
        <f>IFERROR($B$83*119.8264,NA())</f>
        <v/>
      </c>
      <c r="E83" s="30" t="inlineStr">
        <is>
          <t>kg/m3</t>
        </is>
      </c>
    </row>
    <row r="84">
      <c r="A84" s="28" t="inlineStr">
        <is>
          <t>Trip depth (D)</t>
        </is>
      </c>
      <c r="B84" s="31" t="n">
        <v>10000</v>
      </c>
      <c r="C84" s="30" t="inlineStr">
        <is>
          <t>ft</t>
        </is>
      </c>
      <c r="D84" s="32">
        <f>IFERROR($B$84*0.3048,NA())</f>
        <v/>
      </c>
      <c r="E84" s="30" t="inlineStr">
        <is>
          <t>m</t>
        </is>
      </c>
    </row>
    <row r="85">
      <c r="A85" s="28" t="inlineStr">
        <is>
          <t>Stand length (Ls)</t>
        </is>
      </c>
      <c r="B85" s="37" t="n">
        <v>93</v>
      </c>
      <c r="C85" s="30" t="inlineStr">
        <is>
          <t>ft</t>
        </is>
      </c>
      <c r="D85" s="40">
        <f>IFERROR($B$85*0.3048,NA())</f>
        <v/>
      </c>
      <c r="E85" s="30" t="inlineStr">
        <is>
          <t>m</t>
        </is>
      </c>
    </row>
    <row r="86">
      <c r="A86" s="28" t="inlineStr">
        <is>
          <t>Traveling block + hook weight (M)</t>
        </is>
      </c>
      <c r="B86" s="31" t="n">
        <v>100000</v>
      </c>
      <c r="C86" s="30" t="inlineStr">
        <is>
          <t>lbf</t>
        </is>
      </c>
      <c r="D86" s="32">
        <f>IFERROR($B$86*0.004448222,NA())</f>
        <v/>
      </c>
      <c r="E86" s="30" t="inlineStr">
        <is>
          <t>kN</t>
        </is>
      </c>
    </row>
    <row r="87">
      <c r="A87" s="28" t="inlineStr">
        <is>
          <t>Drill collar length</t>
        </is>
      </c>
      <c r="B87" s="31" t="n">
        <v>600</v>
      </c>
      <c r="C87" s="30" t="inlineStr">
        <is>
          <t>ft</t>
        </is>
      </c>
      <c r="D87" s="32">
        <f>IFERROR($B$87*0.3048,NA())</f>
        <v/>
      </c>
      <c r="E87" s="30" t="inlineStr">
        <is>
          <t>m</t>
        </is>
      </c>
    </row>
    <row r="88">
      <c r="A88" s="28" t="inlineStr">
        <is>
          <t>Drill collar weight</t>
        </is>
      </c>
      <c r="B88" s="35" t="n">
        <v>92</v>
      </c>
      <c r="C88" s="30" t="inlineStr">
        <is>
          <t>lb/ft</t>
        </is>
      </c>
      <c r="D88" s="36">
        <f>IFERROR($B$88*1.488164,NA())</f>
        <v/>
      </c>
      <c r="E88" s="30" t="inlineStr">
        <is>
          <t>kg/m</t>
        </is>
      </c>
    </row>
    <row r="89">
      <c r="A89" s="28" t="inlineStr">
        <is>
          <t>Buoyancy factor (BF)</t>
        </is>
      </c>
      <c r="B89" s="58">
        <f>(65.5-$B$83)/65.5</f>
        <v/>
      </c>
      <c r="C89" s="30" t="inlineStr"/>
    </row>
    <row r="90">
      <c r="A90" s="28" t="inlineStr">
        <is>
          <t>Buoyed drill pipe weight</t>
        </is>
      </c>
      <c r="B90" s="51">
        <f>$B$82*$B$89</f>
        <v/>
      </c>
      <c r="C90" s="30" t="inlineStr">
        <is>
          <t>lb/ft</t>
        </is>
      </c>
      <c r="D90" s="42">
        <f>IFERROR($B$90*1.488164,NA())</f>
        <v/>
      </c>
      <c r="E90" s="30" t="inlineStr">
        <is>
          <t>kg/m</t>
        </is>
      </c>
    </row>
    <row r="91">
      <c r="A91" s="28" t="inlineStr">
        <is>
          <t>Buoyed excess collar weight (C)</t>
        </is>
      </c>
      <c r="B91" s="59">
        <f>($B$88-$B$82)*$B$87*$B$89</f>
        <v/>
      </c>
      <c r="C91" s="30" t="inlineStr">
        <is>
          <t>lbf</t>
        </is>
      </c>
      <c r="D91" s="32">
        <f>IFERROR($B$91*0.004448222,NA())</f>
        <v/>
      </c>
      <c r="E91" s="30" t="inlineStr">
        <is>
          <t>kN</t>
        </is>
      </c>
    </row>
    <row r="92">
      <c r="A92" s="28" t="inlineStr">
        <is>
          <t>Round-trip ton-miles</t>
        </is>
      </c>
      <c r="B92" s="59">
        <f>$B$90*$B$84*($B$85+$B$84)/10560000+$B$84*($B$86+$B$91/2)/2640000</f>
        <v/>
      </c>
      <c r="C92" s="30" t="inlineStr"/>
      <c r="D92" s="32">
        <f>IFERROR($B$92*1.459972,NA())</f>
        <v/>
      </c>
      <c r="E92" s="30" t="inlineStr">
        <is>
          <t>tonne-km</t>
        </is>
      </c>
      <c r="F92" s="27" t="inlineStr">
        <is>
          <t>US ton-miles (2000 lb x 5280 ft).</t>
        </is>
      </c>
    </row>
  </sheetData>
  <sheetProtection selectLockedCells="0" selectUnlockedCells="0" sheet="1" objects="0" insertRows="1" insertHyperlinks="1" autoFilter="1" scenarios="0" formatColumns="0" deleteColumns="1" insertColumns="1" pivotTables="1" deleteRows="1" formatCells="1" formatRows="0" sort="1"/>
  <mergeCells count="6">
    <mergeCell ref="A2:F2"/>
    <mergeCell ref="A71:F71"/>
    <mergeCell ref="A52:F52"/>
    <mergeCell ref="A1:F1"/>
    <mergeCell ref="A23:F23"/>
    <mergeCell ref="A6:F6"/>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14.xml><?xml version="1.0" encoding="utf-8"?>
<worksheet xmlns="http://schemas.openxmlformats.org/spreadsheetml/2006/main">
  <sheetPr>
    <tabColor rgb="002E75B6"/>
    <outlinePr summaryBelow="1" summaryRight="1"/>
    <pageSetUpPr/>
  </sheetPr>
  <dimension ref="A1:F78"/>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Directional Drilling</t>
        </is>
      </c>
      <c r="B1" s="2" t="n"/>
      <c r="C1" s="2" t="n"/>
      <c r="D1" s="2" t="n"/>
      <c r="E1" s="2" t="n"/>
      <c r="F1" s="2" t="n"/>
    </row>
    <row r="2">
      <c r="A2" s="20" t="inlineStr">
        <is>
          <t>Dogleg severity, minimum curvature surveys, closure, radius of curvature, build geometry, slide vs rotate</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Surveys &amp; Dogleg</t>
        </is>
      </c>
      <c r="B6" s="24" t="n"/>
      <c r="C6" s="24" t="n"/>
      <c r="D6" s="24" t="n"/>
      <c r="E6" s="24" t="n"/>
      <c r="F6" s="24" t="n"/>
    </row>
    <row r="8">
      <c r="A8" s="25" t="inlineStr">
        <is>
          <t>Dogleg Severity Between Two Surveys</t>
        </is>
      </c>
      <c r="B8" s="26" t="n"/>
      <c r="C8" s="26" t="n"/>
      <c r="D8" s="26" t="n"/>
      <c r="E8" s="26" t="n"/>
      <c r="F8" s="49" t="inlineStr">
        <is>
          <t>DL [deg] = ACOS( COS(I1) x COS(I2) + SIN(I1) x SIN(I2) x COS(A2 - A1) );   DLS = DL x 100 / CL</t>
        </is>
      </c>
    </row>
    <row r="9">
      <c r="A9" t="inlineStr"/>
      <c r="F9" s="27" t="inlineStr">
        <is>
          <t>I = inclination, A = azimuth, CL = course length (MD between surveys). Typical limits: 3-5 deg/100 ft for drill pipe fatigue, less for casing running.</t>
        </is>
      </c>
    </row>
    <row r="10">
      <c r="A10" s="28" t="inlineStr">
        <is>
          <t>Inclination at survey 1 (I1)</t>
        </is>
      </c>
      <c r="B10" s="41" t="n">
        <v>20</v>
      </c>
      <c r="C10" s="30" t="inlineStr">
        <is>
          <t>deg</t>
        </is>
      </c>
    </row>
    <row r="11">
      <c r="A11" s="28" t="inlineStr">
        <is>
          <t>Azimuth at survey 1 (A1)</t>
        </is>
      </c>
      <c r="B11" s="41" t="n">
        <v>45</v>
      </c>
      <c r="C11" s="30" t="inlineStr">
        <is>
          <t>deg</t>
        </is>
      </c>
    </row>
    <row r="12">
      <c r="A12" s="28" t="inlineStr">
        <is>
          <t>Inclination at survey 2 (I2)</t>
        </is>
      </c>
      <c r="B12" s="41" t="n">
        <v>22</v>
      </c>
      <c r="C12" s="30" t="inlineStr">
        <is>
          <t>deg</t>
        </is>
      </c>
    </row>
    <row r="13">
      <c r="A13" s="28" t="inlineStr">
        <is>
          <t>Azimuth at survey 2 (A2)</t>
        </is>
      </c>
      <c r="B13" s="41" t="n">
        <v>48</v>
      </c>
      <c r="C13" s="30" t="inlineStr">
        <is>
          <t>deg</t>
        </is>
      </c>
    </row>
    <row r="14">
      <c r="A14" s="28" t="inlineStr">
        <is>
          <t>Course length (CL)</t>
        </is>
      </c>
      <c r="B14" s="37" t="n">
        <v>100</v>
      </c>
      <c r="C14" s="30" t="inlineStr">
        <is>
          <t>ft</t>
        </is>
      </c>
      <c r="D14" s="40">
        <f>IFERROR($B$14*0.3048,NA())</f>
        <v/>
      </c>
      <c r="E14" s="30" t="inlineStr">
        <is>
          <t>m</t>
        </is>
      </c>
    </row>
    <row r="15">
      <c r="A15" s="28" t="inlineStr">
        <is>
          <t>Dogleg angle (DL)</t>
        </is>
      </c>
      <c r="B15" s="51">
        <f>DEGREES(ACOS(COS(RADIANS($B$10))*COS(RADIANS($B$12))+SIN(RADIANS($B$10))*SIN(RADIANS($B$12))*COS(RADIANS($B$13-$B$11))))</f>
        <v/>
      </c>
      <c r="C15" s="30" t="inlineStr">
        <is>
          <t>deg</t>
        </is>
      </c>
    </row>
    <row r="16">
      <c r="A16" s="28" t="inlineStr">
        <is>
          <t>Dogleg severity (DLS)</t>
        </is>
      </c>
      <c r="B16" s="51">
        <f>$B$15*100/$B$14</f>
        <v/>
      </c>
      <c r="C16" s="30" t="inlineStr">
        <is>
          <t>deg/100ft</t>
        </is>
      </c>
      <c r="D16" s="42">
        <f>IFERROR($B$16*0.984252,NA())</f>
        <v/>
      </c>
      <c r="E16" s="30" t="inlineStr">
        <is>
          <t>deg/30m</t>
        </is>
      </c>
    </row>
    <row r="18">
      <c r="A18" s="25" t="inlineStr">
        <is>
          <t>Minimum Curvature Between Two Surveys</t>
        </is>
      </c>
      <c r="B18" s="26" t="n"/>
      <c r="C18" s="26" t="n"/>
      <c r="D18" s="26" t="n"/>
      <c r="E18" s="26" t="n"/>
      <c r="F18" s="49" t="inlineStr">
        <is>
          <t>RF = 2/DL x TAN(DL/2)  (DL in radians);   dTVD = CL/2 x (COS I1 + COS I2) x RF;   dN = CL/2 x (SIN I1 x COS A1 + SIN I2 x COS A2) x RF;   dE = CL/2 x (SIN I1 x SIN A1 + SIN I2 x SIN A2) x RF</t>
        </is>
      </c>
    </row>
    <row r="19">
      <c r="A19" t="inlineStr"/>
      <c r="F19" s="27" t="inlineStr">
        <is>
          <t>Industry-standard survey calculation. RF = 1 when the dogleg is zero (straight course).</t>
        </is>
      </c>
    </row>
    <row r="20">
      <c r="A20" s="28" t="inlineStr">
        <is>
          <t>Inclination at survey 1 (I1)</t>
        </is>
      </c>
      <c r="B20" s="41" t="n">
        <v>20</v>
      </c>
      <c r="C20" s="30" t="inlineStr">
        <is>
          <t>deg</t>
        </is>
      </c>
    </row>
    <row r="21">
      <c r="A21" s="28" t="inlineStr">
        <is>
          <t>Azimuth at survey 1 (A1)</t>
        </is>
      </c>
      <c r="B21" s="41" t="n">
        <v>45</v>
      </c>
      <c r="C21" s="30" t="inlineStr">
        <is>
          <t>deg</t>
        </is>
      </c>
    </row>
    <row r="22">
      <c r="A22" s="28" t="inlineStr">
        <is>
          <t>Inclination at survey 2 (I2)</t>
        </is>
      </c>
      <c r="B22" s="41" t="n">
        <v>22</v>
      </c>
      <c r="C22" s="30" t="inlineStr">
        <is>
          <t>deg</t>
        </is>
      </c>
    </row>
    <row r="23">
      <c r="A23" s="28" t="inlineStr">
        <is>
          <t>Azimuth at survey 2 (A2)</t>
        </is>
      </c>
      <c r="B23" s="41" t="n">
        <v>48</v>
      </c>
      <c r="C23" s="30" t="inlineStr">
        <is>
          <t>deg</t>
        </is>
      </c>
    </row>
    <row r="24">
      <c r="A24" s="28" t="inlineStr">
        <is>
          <t>Course length (CL)</t>
        </is>
      </c>
      <c r="B24" s="37" t="n">
        <v>100</v>
      </c>
      <c r="C24" s="30" t="inlineStr">
        <is>
          <t>ft</t>
        </is>
      </c>
      <c r="D24" s="40">
        <f>IFERROR($B$24*0.3048,NA())</f>
        <v/>
      </c>
      <c r="E24" s="30" t="inlineStr">
        <is>
          <t>m</t>
        </is>
      </c>
    </row>
    <row r="25">
      <c r="A25" s="28" t="inlineStr">
        <is>
          <t>Dogleg angle (DL)</t>
        </is>
      </c>
      <c r="B25" s="51">
        <f>DEGREES(ACOS(COS(RADIANS($B$20))*COS(RADIANS($B$22))+SIN(RADIANS($B$20))*SIN(RADIANS($B$22))*COS(RADIANS($B$23-$B$21))))</f>
        <v/>
      </c>
      <c r="C25" s="30" t="inlineStr">
        <is>
          <t>deg</t>
        </is>
      </c>
    </row>
    <row r="26">
      <c r="A26" s="28" t="inlineStr">
        <is>
          <t>Ratio factor (RF)</t>
        </is>
      </c>
      <c r="B26" s="52">
        <f>IF($B$25=0,1,2/RADIANS($B$25)*TAN(RADIANS($B$25)/2))</f>
        <v/>
      </c>
      <c r="C26" s="30" t="inlineStr"/>
    </row>
    <row r="27">
      <c r="A27" s="28" t="inlineStr">
        <is>
          <t>Delta TVD</t>
        </is>
      </c>
      <c r="B27" s="51">
        <f>$B$24/2*(COS(RADIANS($B$20))+COS(RADIANS($B$22)))*$B$26</f>
        <v/>
      </c>
      <c r="C27" s="30" t="inlineStr">
        <is>
          <t>ft</t>
        </is>
      </c>
      <c r="D27" s="42">
        <f>IFERROR($B$27*0.3048,NA())</f>
        <v/>
      </c>
      <c r="E27" s="30" t="inlineStr">
        <is>
          <t>m</t>
        </is>
      </c>
    </row>
    <row r="28">
      <c r="A28" s="28" t="inlineStr">
        <is>
          <t>Delta North</t>
        </is>
      </c>
      <c r="B28" s="51">
        <f>$B$24/2*(SIN(RADIANS($B$20))*COS(RADIANS($B$21))+SIN(RADIANS($B$22))*COS(RADIANS($B$23)))*$B$26</f>
        <v/>
      </c>
      <c r="C28" s="30" t="inlineStr">
        <is>
          <t>ft</t>
        </is>
      </c>
      <c r="D28" s="42">
        <f>IFERROR($B$28*0.3048,NA())</f>
        <v/>
      </c>
      <c r="E28" s="30" t="inlineStr">
        <is>
          <t>m</t>
        </is>
      </c>
    </row>
    <row r="29">
      <c r="A29" s="28" t="inlineStr">
        <is>
          <t>Delta East</t>
        </is>
      </c>
      <c r="B29" s="51">
        <f>$B$24/2*(SIN(RADIANS($B$20))*SIN(RADIANS($B$21))+SIN(RADIANS($B$22))*SIN(RADIANS($B$23)))*$B$26</f>
        <v/>
      </c>
      <c r="C29" s="30" t="inlineStr">
        <is>
          <t>ft</t>
        </is>
      </c>
      <c r="D29" s="42">
        <f>IFERROR($B$29*0.3048,NA())</f>
        <v/>
      </c>
      <c r="E29" s="30" t="inlineStr">
        <is>
          <t>m</t>
        </is>
      </c>
    </row>
    <row r="31">
      <c r="A31" s="25" t="inlineStr">
        <is>
          <t>Closure &amp; Vertical Section</t>
        </is>
      </c>
      <c r="B31" s="26" t="n"/>
      <c r="C31" s="26" t="n"/>
      <c r="D31" s="26" t="n"/>
      <c r="E31" s="26" t="n"/>
      <c r="F31" s="49" t="inlineStr">
        <is>
          <t>Closure = SQRT(N^2 + E^2);   Closure azimuth = ATAN2(N, E);   VS = closure x COS(VS azimuth - closure azimuth)</t>
        </is>
      </c>
    </row>
    <row r="32">
      <c r="A32" t="inlineStr"/>
      <c r="F32" s="27" t="inlineStr">
        <is>
          <t>N and E are cumulative coordinates from the wellhead. Vertical section is the closure projected onto the plan (target) direction.</t>
        </is>
      </c>
    </row>
    <row r="33">
      <c r="A33" s="28" t="inlineStr">
        <is>
          <t>Cumulative North (+N/-S)</t>
        </is>
      </c>
      <c r="B33" s="85" t="n">
        <v>1450</v>
      </c>
      <c r="C33" s="30" t="inlineStr">
        <is>
          <t>ft</t>
        </is>
      </c>
      <c r="D33" s="61">
        <f>IFERROR($B$33*0.3048,NA())</f>
        <v/>
      </c>
      <c r="E33" s="30" t="inlineStr">
        <is>
          <t>m</t>
        </is>
      </c>
    </row>
    <row r="34">
      <c r="A34" s="28" t="inlineStr">
        <is>
          <t>Cumulative East (+E/-W)</t>
        </is>
      </c>
      <c r="B34" s="85" t="n">
        <v>1620</v>
      </c>
      <c r="C34" s="30" t="inlineStr">
        <is>
          <t>ft</t>
        </is>
      </c>
      <c r="D34" s="61">
        <f>IFERROR($B$34*0.3048,NA())</f>
        <v/>
      </c>
      <c r="E34" s="30" t="inlineStr">
        <is>
          <t>m</t>
        </is>
      </c>
    </row>
    <row r="35">
      <c r="A35" s="28" t="inlineStr">
        <is>
          <t>Vertical section plane azimuth</t>
        </is>
      </c>
      <c r="B35" s="41" t="n">
        <v>45</v>
      </c>
      <c r="C35" s="30" t="inlineStr">
        <is>
          <t>deg</t>
        </is>
      </c>
    </row>
    <row r="36">
      <c r="A36" s="28" t="inlineStr">
        <is>
          <t>Closure distance</t>
        </is>
      </c>
      <c r="B36" s="60">
        <f>SQRT($B$33^2+$B$34^2)</f>
        <v/>
      </c>
      <c r="C36" s="30" t="inlineStr">
        <is>
          <t>ft</t>
        </is>
      </c>
      <c r="D36" s="61">
        <f>IFERROR($B$36*0.3048,NA())</f>
        <v/>
      </c>
      <c r="E36" s="30" t="inlineStr">
        <is>
          <t>m</t>
        </is>
      </c>
    </row>
    <row r="37">
      <c r="A37" s="28" t="inlineStr">
        <is>
          <t>Closure azimuth</t>
        </is>
      </c>
      <c r="B37" s="51">
        <f>MOD(DEGREES(ATAN2($B$33,$B$34)),360)</f>
        <v/>
      </c>
      <c r="C37" s="30" t="inlineStr">
        <is>
          <t>deg</t>
        </is>
      </c>
    </row>
    <row r="38">
      <c r="A38" s="28" t="inlineStr">
        <is>
          <t>Vertical section (VS)</t>
        </is>
      </c>
      <c r="B38" s="60">
        <f>$B$36*COS(RADIANS($B$35-$B$37))</f>
        <v/>
      </c>
      <c r="C38" s="30" t="inlineStr">
        <is>
          <t>ft</t>
        </is>
      </c>
      <c r="D38" s="61">
        <f>IFERROR($B$38*0.3048,NA())</f>
        <v/>
      </c>
      <c r="E38" s="30" t="inlineStr">
        <is>
          <t>m</t>
        </is>
      </c>
    </row>
    <row r="40" ht="20" customHeight="1">
      <c r="A40" s="23" t="inlineStr">
        <is>
          <t>Build Planning</t>
        </is>
      </c>
      <c r="B40" s="24" t="n"/>
      <c r="C40" s="24" t="n"/>
      <c r="D40" s="24" t="n"/>
      <c r="E40" s="24" t="n"/>
      <c r="F40" s="24" t="n"/>
    </row>
    <row r="42">
      <c r="A42" s="25" t="inlineStr">
        <is>
          <t>Radius of Curvature &amp; Build Section Length</t>
        </is>
      </c>
      <c r="B42" s="26" t="n"/>
      <c r="C42" s="26" t="n"/>
      <c r="D42" s="26" t="n"/>
      <c r="E42" s="26" t="n"/>
      <c r="F42" s="49" t="inlineStr">
        <is>
          <t>R [ft] = 18000 / (PI() x BUR);   MD_build = (I_end - I_start) x 100 / BUR</t>
        </is>
      </c>
    </row>
    <row r="43">
      <c r="A43" t="inlineStr"/>
      <c r="F43" s="27" t="inlineStr">
        <is>
          <t>BUR in deg/100 ft. R is the radius of the build arc in the vertical plane.</t>
        </is>
      </c>
    </row>
    <row r="44">
      <c r="A44" s="28" t="inlineStr">
        <is>
          <t>Build-up rate (BUR)</t>
        </is>
      </c>
      <c r="B44" s="41" t="n">
        <v>3</v>
      </c>
      <c r="C44" s="30" t="inlineStr">
        <is>
          <t>deg/100ft</t>
        </is>
      </c>
      <c r="D44" s="42">
        <f>IFERROR($B$44*0.984252,NA())</f>
        <v/>
      </c>
      <c r="E44" s="30" t="inlineStr">
        <is>
          <t>deg/30m</t>
        </is>
      </c>
    </row>
    <row r="45">
      <c r="A45" s="28" t="inlineStr">
        <is>
          <t>Starting inclination</t>
        </is>
      </c>
      <c r="B45" s="41" t="n">
        <v>0</v>
      </c>
      <c r="C45" s="30" t="inlineStr">
        <is>
          <t>deg</t>
        </is>
      </c>
    </row>
    <row r="46">
      <c r="A46" s="28" t="inlineStr">
        <is>
          <t>Ending inclination</t>
        </is>
      </c>
      <c r="B46" s="41" t="n">
        <v>35</v>
      </c>
      <c r="C46" s="30" t="inlineStr">
        <is>
          <t>deg</t>
        </is>
      </c>
    </row>
    <row r="47">
      <c r="A47" s="28" t="inlineStr">
        <is>
          <t>Radius of curvature (R)</t>
        </is>
      </c>
      <c r="B47" s="59">
        <f>18000/(PI()*$B$44)</f>
        <v/>
      </c>
      <c r="C47" s="30" t="inlineStr">
        <is>
          <t>ft</t>
        </is>
      </c>
      <c r="D47" s="32">
        <f>IFERROR($B$47*0.3048,NA())</f>
        <v/>
      </c>
      <c r="E47" s="30" t="inlineStr">
        <is>
          <t>m</t>
        </is>
      </c>
    </row>
    <row r="48">
      <c r="A48" s="28" t="inlineStr">
        <is>
          <t>Measured depth of build section</t>
        </is>
      </c>
      <c r="B48" s="59">
        <f>($B$46-$B$45)*100/$B$44</f>
        <v/>
      </c>
      <c r="C48" s="30" t="inlineStr">
        <is>
          <t>ft</t>
        </is>
      </c>
      <c r="D48" s="32">
        <f>IFERROR($B$48*0.3048,NA())</f>
        <v/>
      </c>
      <c r="E48" s="30" t="inlineStr">
        <is>
          <t>m</t>
        </is>
      </c>
    </row>
    <row r="50">
      <c r="A50" s="25" t="inlineStr">
        <is>
          <t>TVD &amp; Displacement Through a Build from KOP</t>
        </is>
      </c>
      <c r="B50" s="26" t="n"/>
      <c r="C50" s="26" t="n"/>
      <c r="D50" s="26" t="n"/>
      <c r="E50" s="26" t="n"/>
      <c r="F50" s="49" t="inlineStr">
        <is>
          <t>TVD_eob = TVD_kop + R x SIN(I);   HD_eob = R x (1 - COS(I))</t>
        </is>
      </c>
    </row>
    <row r="51">
      <c r="A51" t="inlineStr"/>
      <c r="F51" s="27" t="inlineStr">
        <is>
          <t>Vertical hole above the kick-off point, constant build to inclination I.</t>
        </is>
      </c>
    </row>
    <row r="52">
      <c r="A52" s="28" t="inlineStr">
        <is>
          <t>Kick-off point TVD</t>
        </is>
      </c>
      <c r="B52" s="31" t="n">
        <v>2000</v>
      </c>
      <c r="C52" s="30" t="inlineStr">
        <is>
          <t>ft</t>
        </is>
      </c>
      <c r="D52" s="32">
        <f>IFERROR($B$52*0.3048,NA())</f>
        <v/>
      </c>
      <c r="E52" s="30" t="inlineStr">
        <is>
          <t>m</t>
        </is>
      </c>
    </row>
    <row r="53">
      <c r="A53" s="28" t="inlineStr">
        <is>
          <t>Build-up rate (BUR)</t>
        </is>
      </c>
      <c r="B53" s="41" t="n">
        <v>3</v>
      </c>
      <c r="C53" s="30" t="inlineStr">
        <is>
          <t>deg/100ft</t>
        </is>
      </c>
      <c r="D53" s="42">
        <f>IFERROR($B$53*0.984252,NA())</f>
        <v/>
      </c>
      <c r="E53" s="30" t="inlineStr">
        <is>
          <t>deg/30m</t>
        </is>
      </c>
    </row>
    <row r="54">
      <c r="A54" s="28" t="inlineStr">
        <is>
          <t>End-of-build inclination (I)</t>
        </is>
      </c>
      <c r="B54" s="41" t="n">
        <v>35</v>
      </c>
      <c r="C54" s="30" t="inlineStr">
        <is>
          <t>deg</t>
        </is>
      </c>
    </row>
    <row r="55">
      <c r="A55" s="28" t="inlineStr">
        <is>
          <t>Radius of curvature (R)</t>
        </is>
      </c>
      <c r="B55" s="59">
        <f>18000/(PI()*$B$53)</f>
        <v/>
      </c>
      <c r="C55" s="30" t="inlineStr">
        <is>
          <t>ft</t>
        </is>
      </c>
      <c r="D55" s="32">
        <f>IFERROR($B$55*0.3048,NA())</f>
        <v/>
      </c>
      <c r="E55" s="30" t="inlineStr">
        <is>
          <t>m</t>
        </is>
      </c>
    </row>
    <row r="56">
      <c r="A56" s="28" t="inlineStr">
        <is>
          <t>TVD at end of build</t>
        </is>
      </c>
      <c r="B56" s="59">
        <f>$B$52+$B$55*SIN(RADIANS($B$54))</f>
        <v/>
      </c>
      <c r="C56" s="30" t="inlineStr">
        <is>
          <t>ft</t>
        </is>
      </c>
      <c r="D56" s="32">
        <f>IFERROR($B$56*0.3048,NA())</f>
        <v/>
      </c>
      <c r="E56" s="30" t="inlineStr">
        <is>
          <t>m</t>
        </is>
      </c>
    </row>
    <row r="57">
      <c r="A57" s="28" t="inlineStr">
        <is>
          <t>Horizontal displacement at end of build</t>
        </is>
      </c>
      <c r="B57" s="59">
        <f>$B$55*(1-COS(RADIANS($B$54)))</f>
        <v/>
      </c>
      <c r="C57" s="30" t="inlineStr">
        <is>
          <t>ft</t>
        </is>
      </c>
      <c r="D57" s="32">
        <f>IFERROR($B$57*0.3048,NA())</f>
        <v/>
      </c>
      <c r="E57" s="30" t="inlineStr">
        <is>
          <t>m</t>
        </is>
      </c>
    </row>
    <row r="59">
      <c r="A59" s="25" t="inlineStr">
        <is>
          <t>Build &amp; Hold: TVD and Displacement at TD</t>
        </is>
      </c>
      <c r="B59" s="26" t="n"/>
      <c r="C59" s="26" t="n"/>
      <c r="D59" s="26" t="n"/>
      <c r="E59" s="26" t="n"/>
      <c r="F59" s="49" t="inlineStr">
        <is>
          <t>MD_tan = TD_md - KOP_md - MD_build;   TVD_td = KOP + R x SIN(I) + MD_tan x COS(I);   HD_td = R x (1 - COS(I)) + MD_tan x SIN(I)</t>
        </is>
      </c>
    </row>
    <row r="60">
      <c r="A60" t="inlineStr"/>
      <c r="F60" s="27" t="inlineStr">
        <is>
          <t>Vertical to KOP, constant build to hold angle I, straight tangent to TD.</t>
        </is>
      </c>
    </row>
    <row r="61">
      <c r="A61" s="28" t="inlineStr">
        <is>
          <t>Kick-off point MD (= TVD, vertical above)</t>
        </is>
      </c>
      <c r="B61" s="31" t="n">
        <v>2000</v>
      </c>
      <c r="C61" s="30" t="inlineStr">
        <is>
          <t>ft</t>
        </is>
      </c>
      <c r="D61" s="32">
        <f>IFERROR($B$61*0.3048,NA())</f>
        <v/>
      </c>
      <c r="E61" s="30" t="inlineStr">
        <is>
          <t>m</t>
        </is>
      </c>
    </row>
    <row r="62">
      <c r="A62" s="28" t="inlineStr">
        <is>
          <t>Build-up rate (BUR)</t>
        </is>
      </c>
      <c r="B62" s="41" t="n">
        <v>3</v>
      </c>
      <c r="C62" s="30" t="inlineStr">
        <is>
          <t>deg/100ft</t>
        </is>
      </c>
      <c r="D62" s="42">
        <f>IFERROR($B$62*0.984252,NA())</f>
        <v/>
      </c>
      <c r="E62" s="30" t="inlineStr">
        <is>
          <t>deg/30m</t>
        </is>
      </c>
    </row>
    <row r="63">
      <c r="A63" s="28" t="inlineStr">
        <is>
          <t>Hold inclination (I)</t>
        </is>
      </c>
      <c r="B63" s="41" t="n">
        <v>35</v>
      </c>
      <c r="C63" s="30" t="inlineStr">
        <is>
          <t>deg</t>
        </is>
      </c>
    </row>
    <row r="64">
      <c r="A64" s="28" t="inlineStr">
        <is>
          <t>Total depth (TD) measured depth</t>
        </is>
      </c>
      <c r="B64" s="31" t="n">
        <v>10000</v>
      </c>
      <c r="C64" s="30" t="inlineStr">
        <is>
          <t>ft</t>
        </is>
      </c>
      <c r="D64" s="32">
        <f>IFERROR($B$64*0.3048,NA())</f>
        <v/>
      </c>
      <c r="E64" s="30" t="inlineStr">
        <is>
          <t>m</t>
        </is>
      </c>
    </row>
    <row r="65">
      <c r="A65" s="28" t="inlineStr">
        <is>
          <t>Radius of curvature (R)</t>
        </is>
      </c>
      <c r="B65" s="59">
        <f>18000/(PI()*$B$62)</f>
        <v/>
      </c>
      <c r="C65" s="30" t="inlineStr">
        <is>
          <t>ft</t>
        </is>
      </c>
      <c r="D65" s="32">
        <f>IFERROR($B$65*0.3048,NA())</f>
        <v/>
      </c>
      <c r="E65" s="30" t="inlineStr">
        <is>
          <t>m</t>
        </is>
      </c>
    </row>
    <row r="66">
      <c r="A66" s="28" t="inlineStr">
        <is>
          <t>Tangent section length</t>
        </is>
      </c>
      <c r="B66" s="59">
        <f>$B$64-$B$61-$B$63*100/$B$62</f>
        <v/>
      </c>
      <c r="C66" s="30" t="inlineStr">
        <is>
          <t>ft</t>
        </is>
      </c>
      <c r="D66" s="32">
        <f>IFERROR($B$66*0.3048,NA())</f>
        <v/>
      </c>
      <c r="E66" s="30" t="inlineStr">
        <is>
          <t>m</t>
        </is>
      </c>
    </row>
    <row r="67">
      <c r="A67" s="28" t="inlineStr">
        <is>
          <t>TVD at TD</t>
        </is>
      </c>
      <c r="B67" s="59">
        <f>$B$61+$B$65*SIN(RADIANS($B$63))+$B$66*COS(RADIANS($B$63))</f>
        <v/>
      </c>
      <c r="C67" s="30" t="inlineStr">
        <is>
          <t>ft</t>
        </is>
      </c>
      <c r="D67" s="32">
        <f>IFERROR($B$67*0.3048,NA())</f>
        <v/>
      </c>
      <c r="E67" s="30" t="inlineStr">
        <is>
          <t>m</t>
        </is>
      </c>
    </row>
    <row r="68">
      <c r="A68" s="28" t="inlineStr">
        <is>
          <t>Horizontal displacement at TD</t>
        </is>
      </c>
      <c r="B68" s="59">
        <f>$B$65*(1-COS(RADIANS($B$63)))+$B$66*SIN(RADIANS($B$63))</f>
        <v/>
      </c>
      <c r="C68" s="30" t="inlineStr">
        <is>
          <t>ft</t>
        </is>
      </c>
      <c r="D68" s="32">
        <f>IFERROR($B$68*0.3048,NA())</f>
        <v/>
      </c>
      <c r="E68" s="30" t="inlineStr">
        <is>
          <t>m</t>
        </is>
      </c>
    </row>
    <row r="70">
      <c r="A70" s="25" t="inlineStr">
        <is>
          <t>Slide vs Rotate Footage for Required Build</t>
        </is>
      </c>
      <c r="B70" s="26" t="n"/>
      <c r="C70" s="26" t="n"/>
      <c r="D70" s="26" t="n"/>
      <c r="E70" s="26" t="n"/>
      <c r="F70" s="49" t="inlineStr">
        <is>
          <t>Slide fraction = (BUR_req - BUR_rot) / (DLS_motor - BUR_rot);   Slide ft per stand = fraction x L_stand</t>
        </is>
      </c>
    </row>
    <row r="71">
      <c r="A71" t="inlineStr"/>
      <c r="F71" s="27" t="inlineStr">
        <is>
          <t>DLS_motor = motor yield while sliding (from bend setting and formation); BUR_rot = build/drop tendency while rotating (negative if dropping). Plan the slide at the start of each stand and confirm with surveys.</t>
        </is>
      </c>
    </row>
    <row r="72">
      <c r="A72" s="28" t="inlineStr">
        <is>
          <t>Required build rate</t>
        </is>
      </c>
      <c r="B72" s="41" t="n">
        <v>3</v>
      </c>
      <c r="C72" s="30" t="inlineStr">
        <is>
          <t>deg/100ft</t>
        </is>
      </c>
      <c r="D72" s="42">
        <f>IFERROR($B$72*0.984252,NA())</f>
        <v/>
      </c>
      <c r="E72" s="30" t="inlineStr">
        <is>
          <t>deg/30m</t>
        </is>
      </c>
    </row>
    <row r="73">
      <c r="A73" s="28" t="inlineStr">
        <is>
          <t>Rotating build tendency</t>
        </is>
      </c>
      <c r="B73" s="41" t="n">
        <v>0.3</v>
      </c>
      <c r="C73" s="30" t="inlineStr">
        <is>
          <t>deg/100ft</t>
        </is>
      </c>
      <c r="D73" s="42">
        <f>IFERROR($B$73*0.984252,NA())</f>
        <v/>
      </c>
      <c r="E73" s="30" t="inlineStr">
        <is>
          <t>deg/30m</t>
        </is>
      </c>
    </row>
    <row r="74">
      <c r="A74" s="28" t="inlineStr">
        <is>
          <t>Motor yield while sliding</t>
        </is>
      </c>
      <c r="B74" s="41" t="n">
        <v>8</v>
      </c>
      <c r="C74" s="30" t="inlineStr">
        <is>
          <t>deg/100ft</t>
        </is>
      </c>
      <c r="D74" s="42">
        <f>IFERROR($B$74*0.984252,NA())</f>
        <v/>
      </c>
      <c r="E74" s="30" t="inlineStr">
        <is>
          <t>deg/30m</t>
        </is>
      </c>
    </row>
    <row r="75">
      <c r="A75" s="28" t="inlineStr">
        <is>
          <t>Stand length</t>
        </is>
      </c>
      <c r="B75" s="37" t="n">
        <v>93</v>
      </c>
      <c r="C75" s="30" t="inlineStr">
        <is>
          <t>ft</t>
        </is>
      </c>
      <c r="D75" s="40">
        <f>IFERROR($B$75*0.3048,NA())</f>
        <v/>
      </c>
      <c r="E75" s="30" t="inlineStr">
        <is>
          <t>m</t>
        </is>
      </c>
    </row>
    <row r="76">
      <c r="A76" s="28" t="inlineStr">
        <is>
          <t>Slide fraction</t>
        </is>
      </c>
      <c r="B76" s="50">
        <f>($B$72-$B$73)/($B$74-$B$73)</f>
        <v/>
      </c>
      <c r="C76" s="30" t="inlineStr"/>
    </row>
    <row r="77">
      <c r="A77" s="28" t="inlineStr">
        <is>
          <t>Slide footage per stand</t>
        </is>
      </c>
      <c r="B77" s="54">
        <f>$B$76*$B$75</f>
        <v/>
      </c>
      <c r="C77" s="30" t="inlineStr">
        <is>
          <t>ft</t>
        </is>
      </c>
      <c r="D77" s="40">
        <f>IFERROR($B$77*0.3048,NA())</f>
        <v/>
      </c>
      <c r="E77" s="30" t="inlineStr">
        <is>
          <t>m</t>
        </is>
      </c>
    </row>
    <row r="78">
      <c r="A78" s="28" t="inlineStr">
        <is>
          <t>Rotate footage per stand</t>
        </is>
      </c>
      <c r="B78" s="54">
        <f>$B$75-$B$77</f>
        <v/>
      </c>
      <c r="C78" s="30" t="inlineStr">
        <is>
          <t>ft</t>
        </is>
      </c>
      <c r="D78" s="40">
        <f>IFERROR($B$78*0.3048,NA())</f>
        <v/>
      </c>
      <c r="E78" s="30" t="inlineStr">
        <is>
          <t>m</t>
        </is>
      </c>
    </row>
  </sheetData>
  <sheetProtection selectLockedCells="0" selectUnlockedCells="0" sheet="1" objects="0" insertRows="1" insertHyperlinks="1" autoFilter="1" scenarios="0" formatColumns="0" deleteColumns="1" insertColumns="1" pivotTables="1" deleteRows="1" formatCells="1" formatRows="0" sort="1"/>
  <mergeCells count="4">
    <mergeCell ref="A2:F2"/>
    <mergeCell ref="A6:F6"/>
    <mergeCell ref="A1:F1"/>
    <mergeCell ref="A40:F40"/>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15.xml><?xml version="1.0" encoding="utf-8"?>
<worksheet xmlns="http://schemas.openxmlformats.org/spreadsheetml/2006/main">
  <sheetPr>
    <tabColor rgb="002E75B6"/>
    <outlinePr summaryBelow="1" summaryRight="1"/>
    <pageSetUpPr/>
  </sheetPr>
  <dimension ref="A1:P111"/>
  <sheetViews>
    <sheetView workbookViewId="0">
      <pane ySplit="6" topLeftCell="A7" activePane="bottomLeft" state="frozen"/>
      <selection pane="bottomLeft" activeCell="A1" sqref="A1"/>
    </sheetView>
  </sheetViews>
  <sheetFormatPr baseColWidth="8" defaultRowHeight="15"/>
  <cols>
    <col width="12" customWidth="1" min="1" max="1"/>
    <col width="9" customWidth="1" min="2" max="2"/>
    <col width="9" customWidth="1" min="3" max="3"/>
    <col width="12" customWidth="1" min="4" max="4"/>
    <col width="12" customWidth="1" min="5" max="5"/>
    <col width="11" customWidth="1" min="6" max="6"/>
    <col width="11" customWidth="1" min="7" max="7"/>
    <col width="13" customWidth="1" min="8" max="8"/>
    <col width="11" customWidth="1" min="9" max="9"/>
    <col width="11" customWidth="1" min="10" max="10"/>
    <col width="9" customWidth="1" min="11" max="11"/>
    <col width="9" customWidth="1" min="12" max="12"/>
    <col width="10" customWidth="1" min="13" max="13"/>
    <col width="10" customWidth="1" min="14" max="14"/>
    <col width="10" customWidth="1" min="15" max="15"/>
    <col width="10" customWidth="1" min="16" max="16"/>
  </cols>
  <sheetData>
    <row r="1" ht="26" customHeight="1">
      <c r="A1" s="19" t="inlineStr">
        <is>
          <t>Directional Survey - Minimum Curvature</t>
        </is>
      </c>
      <c r="B1" s="2" t="n"/>
      <c r="C1" s="2" t="n"/>
      <c r="D1" s="2" t="n"/>
      <c r="E1" s="2" t="n"/>
      <c r="F1" s="2" t="n"/>
    </row>
    <row r="2">
      <c r="A2" s="20" t="inlineStr">
        <is>
          <t>Paste MD / Inc / Azi stations; TVD, N/E, VS and DLS compute per row. Charts and the Kill Sheet schedule update automatically.</t>
        </is>
      </c>
      <c r="B2" s="2" t="n"/>
      <c r="C2" s="2" t="n"/>
      <c r="D2" s="2" t="n"/>
      <c r="E2" s="2" t="n"/>
      <c r="F2" s="2" t="n"/>
    </row>
    <row r="3">
      <c r="A3" s="8" t="inlineStr">
        <is>
          <t>Vertical section direction</t>
        </is>
      </c>
      <c r="B3" s="86" t="n">
        <v>90</v>
      </c>
      <c r="C3" s="79" t="inlineStr">
        <is>
          <t>deg</t>
        </is>
      </c>
      <c r="D3" s="8" t="inlineStr">
        <is>
          <t>TVD at TD</t>
        </is>
      </c>
      <c r="E3" s="87">
        <f>LOOKUP(9.99E+307,D7:D106)</f>
        <v/>
      </c>
      <c r="F3" s="79" t="inlineStr">
        <is>
          <t>ft</t>
        </is>
      </c>
      <c r="G3" s="8" t="inlineStr">
        <is>
          <t>Max DLS</t>
        </is>
      </c>
      <c r="H3" s="88">
        <f>MAX(H8:H106)</f>
        <v/>
      </c>
      <c r="I3" s="79" t="inlineStr">
        <is>
          <t>deg/100ft</t>
        </is>
      </c>
    </row>
    <row r="4">
      <c r="A4" s="21" t="inlineStr">
        <is>
          <t>Parameter</t>
        </is>
      </c>
      <c r="B4" s="22" t="inlineStr">
        <is>
          <t>Value</t>
        </is>
      </c>
      <c r="C4" s="21" t="inlineStr">
        <is>
          <t>Unit</t>
        </is>
      </c>
      <c r="D4" s="22" t="inlineStr">
        <is>
          <t>SI Value</t>
        </is>
      </c>
      <c r="E4" s="21" t="inlineStr">
        <is>
          <t>SI Unit</t>
        </is>
      </c>
      <c r="F4" s="21" t="inlineStr">
        <is>
          <t>Notes / Equation</t>
        </is>
      </c>
    </row>
    <row r="5">
      <c r="A5" s="89" t="inlineStr">
        <is>
          <t>Survey Stations - enter MD / Inc / Azi (yellow). Row 1 is the tie-in (TVD/NS/EW also inputs there). MD must strictly increase; no blank rows between stations; last station must reach bit/TD measured depth.</t>
        </is>
      </c>
      <c r="B5" s="24" t="n"/>
      <c r="C5" s="24" t="n"/>
      <c r="D5" s="24" t="n"/>
      <c r="E5" s="24" t="n"/>
      <c r="F5" s="24" t="n"/>
      <c r="G5" s="24" t="n"/>
      <c r="H5" s="24" t="n"/>
      <c r="I5" s="24" t="n"/>
      <c r="J5" s="24" t="n"/>
      <c r="K5" s="24" t="n"/>
      <c r="L5" s="24" t="n"/>
      <c r="M5" s="24" t="n"/>
      <c r="N5" s="24" t="n"/>
      <c r="O5" s="24" t="n"/>
      <c r="P5" s="24" t="n"/>
    </row>
    <row r="6">
      <c r="A6" s="67" t="inlineStr">
        <is>
          <t>MD (ft)</t>
        </is>
      </c>
      <c r="B6" s="67" t="inlineStr">
        <is>
          <t>Inc (deg)</t>
        </is>
      </c>
      <c r="C6" s="67" t="inlineStr">
        <is>
          <t>Azi (deg)</t>
        </is>
      </c>
      <c r="D6" s="67" t="inlineStr">
        <is>
          <t>TVD (ft)</t>
        </is>
      </c>
      <c r="E6" s="67" t="inlineStr">
        <is>
          <t>VS (ft)</t>
        </is>
      </c>
      <c r="F6" s="67" t="inlineStr">
        <is>
          <t>N/S (ft)</t>
        </is>
      </c>
      <c r="G6" s="67" t="inlineStr">
        <is>
          <t>E/W (ft)</t>
        </is>
      </c>
      <c r="H6" s="67" t="inlineStr">
        <is>
          <t>DLS (deg/100ft)</t>
        </is>
      </c>
      <c r="I6" s="67" t="inlineStr">
        <is>
          <t>MDh*</t>
        </is>
      </c>
      <c r="J6" s="67" t="inlineStr">
        <is>
          <t>TVDh*</t>
        </is>
      </c>
      <c r="K6" s="67" t="inlineStr">
        <is>
          <t>DL*</t>
        </is>
      </c>
      <c r="L6" s="67" t="inlineStr">
        <is>
          <t>RF*</t>
        </is>
      </c>
      <c r="M6" s="67" t="inlineStr">
        <is>
          <t>VS_c*</t>
        </is>
      </c>
      <c r="N6" s="67" t="inlineStr">
        <is>
          <t>TVD_c*</t>
        </is>
      </c>
      <c r="O6" s="67" t="inlineStr">
        <is>
          <t>EW_c*</t>
        </is>
      </c>
      <c r="P6" s="67" t="inlineStr">
        <is>
          <t>NS_c*</t>
        </is>
      </c>
    </row>
    <row r="7">
      <c r="A7" s="31" t="n">
        <v>0</v>
      </c>
      <c r="B7" s="37" t="n">
        <v>0</v>
      </c>
      <c r="C7" s="37" t="n">
        <v>0</v>
      </c>
      <c r="D7" s="85" t="n">
        <v>0</v>
      </c>
      <c r="E7" s="90">
        <f>F7*COS(RADIANS($B$3))+G7*SIN(RADIANS($B$3))</f>
        <v/>
      </c>
      <c r="F7" s="85" t="n">
        <v>0</v>
      </c>
      <c r="G7" s="85" t="n">
        <v>0</v>
      </c>
      <c r="H7" s="91" t="n"/>
      <c r="I7" s="92">
        <f>IF(A7="",9.9E+99,A7)</f>
        <v/>
      </c>
      <c r="J7" s="92">
        <f>IF(D7="",0,D7)</f>
        <v/>
      </c>
      <c r="K7" s="92" t="n"/>
      <c r="L7" s="92" t="n"/>
      <c r="M7" s="92">
        <f>IF($A7="",NA(),E7)</f>
        <v/>
      </c>
      <c r="N7" s="92">
        <f>IF($A7="",NA(),D7)</f>
        <v/>
      </c>
      <c r="O7" s="92">
        <f>IF($A7="",NA(),G7)</f>
        <v/>
      </c>
      <c r="P7" s="92">
        <f>IF($A7="",NA(),F7)</f>
        <v/>
      </c>
    </row>
    <row r="8">
      <c r="A8" s="31" t="n">
        <v>1000</v>
      </c>
      <c r="B8" s="37" t="n">
        <v>0</v>
      </c>
      <c r="C8" s="37" t="n">
        <v>0</v>
      </c>
      <c r="D8" s="90">
        <f>IF(K8="","",D7+(A8-A7)/2*(COS(RADIANS(B7))+COS(RADIANS(B8)))*L8)</f>
        <v/>
      </c>
      <c r="E8" s="90">
        <f>IF(D8="","",F8*COS(RADIANS($B$3))+G8*SIN(RADIANS($B$3)))</f>
        <v/>
      </c>
      <c r="F8" s="90">
        <f>IF(K8="","",ROUND(F7+(A8-A7)/2*(SIN(RADIANS(B7))*COS(RADIANS(C7))+SIN(RADIANS(B8))*COS(RADIANS(C8)))*L8,4))</f>
        <v/>
      </c>
      <c r="G8" s="90">
        <f>IF(K8="","",ROUND(G7+(A8-A7)/2*(SIN(RADIANS(B7))*SIN(RADIANS(C7))+SIN(RADIANS(B8))*SIN(RADIANS(C8)))*L8,4))</f>
        <v/>
      </c>
      <c r="H8" s="91">
        <f>IF(K8="","",IF(A8=A7,0,K8*100/(A8-A7)))</f>
        <v/>
      </c>
      <c r="I8" s="92">
        <f>IF(A8="",9.9E+99,A8)</f>
        <v/>
      </c>
      <c r="J8" s="92">
        <f>IF(D8="",0,D8)</f>
        <v/>
      </c>
      <c r="K8" s="92">
        <f>IF(OR(A8="",A7=""),"",DEGREES(ACOS(MIN(1,MAX(-1,COS(RADIANS(B7))*COS(RADIANS(B8))+SIN(RADIANS(B7))*SIN(RADIANS(B8))*COS(RADIANS(C8-C7)))))))</f>
        <v/>
      </c>
      <c r="L8" s="92">
        <f>IF(K8="","",IF(K8=0,1,2/RADIANS(K8)*TAN(RADIANS(K8)/2)))</f>
        <v/>
      </c>
      <c r="M8" s="92">
        <f>IF($A8="",NA(),E8)</f>
        <v/>
      </c>
      <c r="N8" s="92">
        <f>IF($A8="",NA(),D8)</f>
        <v/>
      </c>
      <c r="O8" s="92">
        <f>IF($A8="",NA(),G8)</f>
        <v/>
      </c>
      <c r="P8" s="92">
        <f>IF($A8="",NA(),F8)</f>
        <v/>
      </c>
    </row>
    <row r="9">
      <c r="A9" s="31" t="n">
        <v>2000</v>
      </c>
      <c r="B9" s="37" t="n">
        <v>0</v>
      </c>
      <c r="C9" s="37" t="n">
        <v>0</v>
      </c>
      <c r="D9" s="90">
        <f>IF(K9="","",D8+(A9-A8)/2*(COS(RADIANS(B8))+COS(RADIANS(B9)))*L9)</f>
        <v/>
      </c>
      <c r="E9" s="90">
        <f>IF(D9="","",F9*COS(RADIANS($B$3))+G9*SIN(RADIANS($B$3)))</f>
        <v/>
      </c>
      <c r="F9" s="90">
        <f>IF(K9="","",ROUND(F8+(A9-A8)/2*(SIN(RADIANS(B8))*COS(RADIANS(C8))+SIN(RADIANS(B9))*COS(RADIANS(C9)))*L9,4))</f>
        <v/>
      </c>
      <c r="G9" s="90">
        <f>IF(K9="","",ROUND(G8+(A9-A8)/2*(SIN(RADIANS(B8))*SIN(RADIANS(C8))+SIN(RADIANS(B9))*SIN(RADIANS(C9)))*L9,4))</f>
        <v/>
      </c>
      <c r="H9" s="91">
        <f>IF(K9="","",IF(A9=A8,0,K9*100/(A9-A8)))</f>
        <v/>
      </c>
      <c r="I9" s="92">
        <f>IF(A9="",9.9E+99,A9)</f>
        <v/>
      </c>
      <c r="J9" s="92">
        <f>IF(D9="",0,D9)</f>
        <v/>
      </c>
      <c r="K9" s="92">
        <f>IF(OR(A9="",A8=""),"",DEGREES(ACOS(MIN(1,MAX(-1,COS(RADIANS(B8))*COS(RADIANS(B9))+SIN(RADIANS(B8))*SIN(RADIANS(B9))*COS(RADIANS(C9-C8)))))))</f>
        <v/>
      </c>
      <c r="L9" s="92">
        <f>IF(K9="","",IF(K9=0,1,2/RADIANS(K9)*TAN(RADIANS(K9)/2)))</f>
        <v/>
      </c>
      <c r="M9" s="92">
        <f>IF($A9="",NA(),E9)</f>
        <v/>
      </c>
      <c r="N9" s="92">
        <f>IF($A9="",NA(),D9)</f>
        <v/>
      </c>
      <c r="O9" s="92">
        <f>IF($A9="",NA(),G9)</f>
        <v/>
      </c>
      <c r="P9" s="92">
        <f>IF($A9="",NA(),F9)</f>
        <v/>
      </c>
    </row>
    <row r="10">
      <c r="A10" s="31" t="n">
        <v>3000</v>
      </c>
      <c r="B10" s="37" t="n">
        <v>0</v>
      </c>
      <c r="C10" s="37" t="n">
        <v>0</v>
      </c>
      <c r="D10" s="90">
        <f>IF(K10="","",D9+(A10-A9)/2*(COS(RADIANS(B9))+COS(RADIANS(B10)))*L10)</f>
        <v/>
      </c>
      <c r="E10" s="90">
        <f>IF(D10="","",F10*COS(RADIANS($B$3))+G10*SIN(RADIANS($B$3)))</f>
        <v/>
      </c>
      <c r="F10" s="90">
        <f>IF(K10="","",ROUND(F9+(A10-A9)/2*(SIN(RADIANS(B9))*COS(RADIANS(C9))+SIN(RADIANS(B10))*COS(RADIANS(C10)))*L10,4))</f>
        <v/>
      </c>
      <c r="G10" s="90">
        <f>IF(K10="","",ROUND(G9+(A10-A9)/2*(SIN(RADIANS(B9))*SIN(RADIANS(C9))+SIN(RADIANS(B10))*SIN(RADIANS(C10)))*L10,4))</f>
        <v/>
      </c>
      <c r="H10" s="91">
        <f>IF(K10="","",IF(A10=A9,0,K10*100/(A10-A9)))</f>
        <v/>
      </c>
      <c r="I10" s="92">
        <f>IF(A10="",9.9E+99,A10)</f>
        <v/>
      </c>
      <c r="J10" s="92">
        <f>IF(D10="",0,D10)</f>
        <v/>
      </c>
      <c r="K10" s="92">
        <f>IF(OR(A10="",A9=""),"",DEGREES(ACOS(MIN(1,MAX(-1,COS(RADIANS(B9))*COS(RADIANS(B10))+SIN(RADIANS(B9))*SIN(RADIANS(B10))*COS(RADIANS(C10-C9)))))))</f>
        <v/>
      </c>
      <c r="L10" s="92">
        <f>IF(K10="","",IF(K10=0,1,2/RADIANS(K10)*TAN(RADIANS(K10)/2)))</f>
        <v/>
      </c>
      <c r="M10" s="92">
        <f>IF($A10="",NA(),E10)</f>
        <v/>
      </c>
      <c r="N10" s="92">
        <f>IF($A10="",NA(),D10)</f>
        <v/>
      </c>
      <c r="O10" s="92">
        <f>IF($A10="",NA(),G10)</f>
        <v/>
      </c>
      <c r="P10" s="92">
        <f>IF($A10="",NA(),F10)</f>
        <v/>
      </c>
    </row>
    <row r="11">
      <c r="A11" s="31" t="n">
        <v>4000</v>
      </c>
      <c r="B11" s="37" t="n">
        <v>0</v>
      </c>
      <c r="C11" s="37" t="n">
        <v>0</v>
      </c>
      <c r="D11" s="90">
        <f>IF(K11="","",D10+(A11-A10)/2*(COS(RADIANS(B10))+COS(RADIANS(B11)))*L11)</f>
        <v/>
      </c>
      <c r="E11" s="90">
        <f>IF(D11="","",F11*COS(RADIANS($B$3))+G11*SIN(RADIANS($B$3)))</f>
        <v/>
      </c>
      <c r="F11" s="90">
        <f>IF(K11="","",ROUND(F10+(A11-A10)/2*(SIN(RADIANS(B10))*COS(RADIANS(C10))+SIN(RADIANS(B11))*COS(RADIANS(C11)))*L11,4))</f>
        <v/>
      </c>
      <c r="G11" s="90">
        <f>IF(K11="","",ROUND(G10+(A11-A10)/2*(SIN(RADIANS(B10))*SIN(RADIANS(C10))+SIN(RADIANS(B11))*SIN(RADIANS(C11)))*L11,4))</f>
        <v/>
      </c>
      <c r="H11" s="91">
        <f>IF(K11="","",IF(A11=A10,0,K11*100/(A11-A10)))</f>
        <v/>
      </c>
      <c r="I11" s="92">
        <f>IF(A11="",9.9E+99,A11)</f>
        <v/>
      </c>
      <c r="J11" s="92">
        <f>IF(D11="",0,D11)</f>
        <v/>
      </c>
      <c r="K11" s="92">
        <f>IF(OR(A11="",A10=""),"",DEGREES(ACOS(MIN(1,MAX(-1,COS(RADIANS(B10))*COS(RADIANS(B11))+SIN(RADIANS(B10))*SIN(RADIANS(B11))*COS(RADIANS(C11-C10)))))))</f>
        <v/>
      </c>
      <c r="L11" s="92">
        <f>IF(K11="","",IF(K11=0,1,2/RADIANS(K11)*TAN(RADIANS(K11)/2)))</f>
        <v/>
      </c>
      <c r="M11" s="92">
        <f>IF($A11="",NA(),E11)</f>
        <v/>
      </c>
      <c r="N11" s="92">
        <f>IF($A11="",NA(),D11)</f>
        <v/>
      </c>
      <c r="O11" s="92">
        <f>IF($A11="",NA(),G11)</f>
        <v/>
      </c>
      <c r="P11" s="92">
        <f>IF($A11="",NA(),F11)</f>
        <v/>
      </c>
    </row>
    <row r="12">
      <c r="A12" s="31" t="n">
        <v>4500</v>
      </c>
      <c r="B12" s="37" t="n">
        <v>0</v>
      </c>
      <c r="C12" s="37" t="n">
        <v>0</v>
      </c>
      <c r="D12" s="90">
        <f>IF(K12="","",D11+(A12-A11)/2*(COS(RADIANS(B11))+COS(RADIANS(B12)))*L12)</f>
        <v/>
      </c>
      <c r="E12" s="90">
        <f>IF(D12="","",F12*COS(RADIANS($B$3))+G12*SIN(RADIANS($B$3)))</f>
        <v/>
      </c>
      <c r="F12" s="90">
        <f>IF(K12="","",ROUND(F11+(A12-A11)/2*(SIN(RADIANS(B11))*COS(RADIANS(C11))+SIN(RADIANS(B12))*COS(RADIANS(C12)))*L12,4))</f>
        <v/>
      </c>
      <c r="G12" s="90">
        <f>IF(K12="","",ROUND(G11+(A12-A11)/2*(SIN(RADIANS(B11))*SIN(RADIANS(C11))+SIN(RADIANS(B12))*SIN(RADIANS(C12)))*L12,4))</f>
        <v/>
      </c>
      <c r="H12" s="91">
        <f>IF(K12="","",IF(A12=A11,0,K12*100/(A12-A11)))</f>
        <v/>
      </c>
      <c r="I12" s="92">
        <f>IF(A12="",9.9E+99,A12)</f>
        <v/>
      </c>
      <c r="J12" s="92">
        <f>IF(D12="",0,D12)</f>
        <v/>
      </c>
      <c r="K12" s="92">
        <f>IF(OR(A12="",A11=""),"",DEGREES(ACOS(MIN(1,MAX(-1,COS(RADIANS(B11))*COS(RADIANS(B12))+SIN(RADIANS(B11))*SIN(RADIANS(B12))*COS(RADIANS(C12-C11)))))))</f>
        <v/>
      </c>
      <c r="L12" s="92">
        <f>IF(K12="","",IF(K12=0,1,2/RADIANS(K12)*TAN(RADIANS(K12)/2)))</f>
        <v/>
      </c>
      <c r="M12" s="92">
        <f>IF($A12="",NA(),E12)</f>
        <v/>
      </c>
      <c r="N12" s="92">
        <f>IF($A12="",NA(),D12)</f>
        <v/>
      </c>
      <c r="O12" s="92">
        <f>IF($A12="",NA(),G12)</f>
        <v/>
      </c>
      <c r="P12" s="92">
        <f>IF($A12="",NA(),F12)</f>
        <v/>
      </c>
    </row>
    <row r="13">
      <c r="A13" s="31" t="n">
        <v>5000</v>
      </c>
      <c r="B13" s="37" t="n">
        <v>0</v>
      </c>
      <c r="C13" s="37" t="n">
        <v>0</v>
      </c>
      <c r="D13" s="90">
        <f>IF(K13="","",D12+(A13-A12)/2*(COS(RADIANS(B12))+COS(RADIANS(B13)))*L13)</f>
        <v/>
      </c>
      <c r="E13" s="90">
        <f>IF(D13="","",F13*COS(RADIANS($B$3))+G13*SIN(RADIANS($B$3)))</f>
        <v/>
      </c>
      <c r="F13" s="90">
        <f>IF(K13="","",ROUND(F12+(A13-A12)/2*(SIN(RADIANS(B12))*COS(RADIANS(C12))+SIN(RADIANS(B13))*COS(RADIANS(C13)))*L13,4))</f>
        <v/>
      </c>
      <c r="G13" s="90">
        <f>IF(K13="","",ROUND(G12+(A13-A12)/2*(SIN(RADIANS(B12))*SIN(RADIANS(C12))+SIN(RADIANS(B13))*SIN(RADIANS(C13)))*L13,4))</f>
        <v/>
      </c>
      <c r="H13" s="91">
        <f>IF(K13="","",IF(A13=A12,0,K13*100/(A13-A12)))</f>
        <v/>
      </c>
      <c r="I13" s="92">
        <f>IF(A13="",9.9E+99,A13)</f>
        <v/>
      </c>
      <c r="J13" s="92">
        <f>IF(D13="",0,D13)</f>
        <v/>
      </c>
      <c r="K13" s="92">
        <f>IF(OR(A13="",A12=""),"",DEGREES(ACOS(MIN(1,MAX(-1,COS(RADIANS(B12))*COS(RADIANS(B13))+SIN(RADIANS(B12))*SIN(RADIANS(B13))*COS(RADIANS(C13-C12)))))))</f>
        <v/>
      </c>
      <c r="L13" s="92">
        <f>IF(K13="","",IF(K13=0,1,2/RADIANS(K13)*TAN(RADIANS(K13)/2)))</f>
        <v/>
      </c>
      <c r="M13" s="92">
        <f>IF($A13="",NA(),E13)</f>
        <v/>
      </c>
      <c r="N13" s="92">
        <f>IF($A13="",NA(),D13)</f>
        <v/>
      </c>
      <c r="O13" s="92">
        <f>IF($A13="",NA(),G13)</f>
        <v/>
      </c>
      <c r="P13" s="92">
        <f>IF($A13="",NA(),F13)</f>
        <v/>
      </c>
    </row>
    <row r="14">
      <c r="A14" s="31" t="n">
        <v>5100</v>
      </c>
      <c r="B14" s="37" t="n">
        <v>10</v>
      </c>
      <c r="C14" s="37" t="n">
        <v>90</v>
      </c>
      <c r="D14" s="90">
        <f>IF(K14="","",D13+(A14-A13)/2*(COS(RADIANS(B13))+COS(RADIANS(B14)))*L14)</f>
        <v/>
      </c>
      <c r="E14" s="90">
        <f>IF(D14="","",F14*COS(RADIANS($B$3))+G14*SIN(RADIANS($B$3)))</f>
        <v/>
      </c>
      <c r="F14" s="90">
        <f>IF(K14="","",ROUND(F13+(A14-A13)/2*(SIN(RADIANS(B13))*COS(RADIANS(C13))+SIN(RADIANS(B14))*COS(RADIANS(C14)))*L14,4))</f>
        <v/>
      </c>
      <c r="G14" s="90">
        <f>IF(K14="","",ROUND(G13+(A14-A13)/2*(SIN(RADIANS(B13))*SIN(RADIANS(C13))+SIN(RADIANS(B14))*SIN(RADIANS(C14)))*L14,4))</f>
        <v/>
      </c>
      <c r="H14" s="91">
        <f>IF(K14="","",IF(A14=A13,0,K14*100/(A14-A13)))</f>
        <v/>
      </c>
      <c r="I14" s="92">
        <f>IF(A14="",9.9E+99,A14)</f>
        <v/>
      </c>
      <c r="J14" s="92">
        <f>IF(D14="",0,D14)</f>
        <v/>
      </c>
      <c r="K14" s="92">
        <f>IF(OR(A14="",A13=""),"",DEGREES(ACOS(MIN(1,MAX(-1,COS(RADIANS(B13))*COS(RADIANS(B14))+SIN(RADIANS(B13))*SIN(RADIANS(B14))*COS(RADIANS(C14-C13)))))))</f>
        <v/>
      </c>
      <c r="L14" s="92">
        <f>IF(K14="","",IF(K14=0,1,2/RADIANS(K14)*TAN(RADIANS(K14)/2)))</f>
        <v/>
      </c>
      <c r="M14" s="92">
        <f>IF($A14="",NA(),E14)</f>
        <v/>
      </c>
      <c r="N14" s="92">
        <f>IF($A14="",NA(),D14)</f>
        <v/>
      </c>
      <c r="O14" s="92">
        <f>IF($A14="",NA(),G14)</f>
        <v/>
      </c>
      <c r="P14" s="92">
        <f>IF($A14="",NA(),F14)</f>
        <v/>
      </c>
    </row>
    <row r="15">
      <c r="A15" s="31" t="n">
        <v>5200</v>
      </c>
      <c r="B15" s="37" t="n">
        <v>20</v>
      </c>
      <c r="C15" s="37" t="n">
        <v>90</v>
      </c>
      <c r="D15" s="90">
        <f>IF(K15="","",D14+(A15-A14)/2*(COS(RADIANS(B14))+COS(RADIANS(B15)))*L15)</f>
        <v/>
      </c>
      <c r="E15" s="90">
        <f>IF(D15="","",F15*COS(RADIANS($B$3))+G15*SIN(RADIANS($B$3)))</f>
        <v/>
      </c>
      <c r="F15" s="90">
        <f>IF(K15="","",ROUND(F14+(A15-A14)/2*(SIN(RADIANS(B14))*COS(RADIANS(C14))+SIN(RADIANS(B15))*COS(RADIANS(C15)))*L15,4))</f>
        <v/>
      </c>
      <c r="G15" s="90">
        <f>IF(K15="","",ROUND(G14+(A15-A14)/2*(SIN(RADIANS(B14))*SIN(RADIANS(C14))+SIN(RADIANS(B15))*SIN(RADIANS(C15)))*L15,4))</f>
        <v/>
      </c>
      <c r="H15" s="91">
        <f>IF(K15="","",IF(A15=A14,0,K15*100/(A15-A14)))</f>
        <v/>
      </c>
      <c r="I15" s="92">
        <f>IF(A15="",9.9E+99,A15)</f>
        <v/>
      </c>
      <c r="J15" s="92">
        <f>IF(D15="",0,D15)</f>
        <v/>
      </c>
      <c r="K15" s="92">
        <f>IF(OR(A15="",A14=""),"",DEGREES(ACOS(MIN(1,MAX(-1,COS(RADIANS(B14))*COS(RADIANS(B15))+SIN(RADIANS(B14))*SIN(RADIANS(B15))*COS(RADIANS(C15-C14)))))))</f>
        <v/>
      </c>
      <c r="L15" s="92">
        <f>IF(K15="","",IF(K15=0,1,2/RADIANS(K15)*TAN(RADIANS(K15)/2)))</f>
        <v/>
      </c>
      <c r="M15" s="92">
        <f>IF($A15="",NA(),E15)</f>
        <v/>
      </c>
      <c r="N15" s="92">
        <f>IF($A15="",NA(),D15)</f>
        <v/>
      </c>
      <c r="O15" s="92">
        <f>IF($A15="",NA(),G15)</f>
        <v/>
      </c>
      <c r="P15" s="92">
        <f>IF($A15="",NA(),F15)</f>
        <v/>
      </c>
    </row>
    <row r="16">
      <c r="A16" s="31" t="n">
        <v>5300</v>
      </c>
      <c r="B16" s="37" t="n">
        <v>30</v>
      </c>
      <c r="C16" s="37" t="n">
        <v>90</v>
      </c>
      <c r="D16" s="90">
        <f>IF(K16="","",D15+(A16-A15)/2*(COS(RADIANS(B15))+COS(RADIANS(B16)))*L16)</f>
        <v/>
      </c>
      <c r="E16" s="90">
        <f>IF(D16="","",F16*COS(RADIANS($B$3))+G16*SIN(RADIANS($B$3)))</f>
        <v/>
      </c>
      <c r="F16" s="90">
        <f>IF(K16="","",ROUND(F15+(A16-A15)/2*(SIN(RADIANS(B15))*COS(RADIANS(C15))+SIN(RADIANS(B16))*COS(RADIANS(C16)))*L16,4))</f>
        <v/>
      </c>
      <c r="G16" s="90">
        <f>IF(K16="","",ROUND(G15+(A16-A15)/2*(SIN(RADIANS(B15))*SIN(RADIANS(C15))+SIN(RADIANS(B16))*SIN(RADIANS(C16)))*L16,4))</f>
        <v/>
      </c>
      <c r="H16" s="91">
        <f>IF(K16="","",IF(A16=A15,0,K16*100/(A16-A15)))</f>
        <v/>
      </c>
      <c r="I16" s="92">
        <f>IF(A16="",9.9E+99,A16)</f>
        <v/>
      </c>
      <c r="J16" s="92">
        <f>IF(D16="",0,D16)</f>
        <v/>
      </c>
      <c r="K16" s="92">
        <f>IF(OR(A16="",A15=""),"",DEGREES(ACOS(MIN(1,MAX(-1,COS(RADIANS(B15))*COS(RADIANS(B16))+SIN(RADIANS(B15))*SIN(RADIANS(B16))*COS(RADIANS(C16-C15)))))))</f>
        <v/>
      </c>
      <c r="L16" s="92">
        <f>IF(K16="","",IF(K16=0,1,2/RADIANS(K16)*TAN(RADIANS(K16)/2)))</f>
        <v/>
      </c>
      <c r="M16" s="92">
        <f>IF($A16="",NA(),E16)</f>
        <v/>
      </c>
      <c r="N16" s="92">
        <f>IF($A16="",NA(),D16)</f>
        <v/>
      </c>
      <c r="O16" s="92">
        <f>IF($A16="",NA(),G16)</f>
        <v/>
      </c>
      <c r="P16" s="92">
        <f>IF($A16="",NA(),F16)</f>
        <v/>
      </c>
    </row>
    <row r="17">
      <c r="A17" s="31" t="n">
        <v>5400</v>
      </c>
      <c r="B17" s="37" t="n">
        <v>40</v>
      </c>
      <c r="C17" s="37" t="n">
        <v>90</v>
      </c>
      <c r="D17" s="90">
        <f>IF(K17="","",D16+(A17-A16)/2*(COS(RADIANS(B16))+COS(RADIANS(B17)))*L17)</f>
        <v/>
      </c>
      <c r="E17" s="90">
        <f>IF(D17="","",F17*COS(RADIANS($B$3))+G17*SIN(RADIANS($B$3)))</f>
        <v/>
      </c>
      <c r="F17" s="90">
        <f>IF(K17="","",ROUND(F16+(A17-A16)/2*(SIN(RADIANS(B16))*COS(RADIANS(C16))+SIN(RADIANS(B17))*COS(RADIANS(C17)))*L17,4))</f>
        <v/>
      </c>
      <c r="G17" s="90">
        <f>IF(K17="","",ROUND(G16+(A17-A16)/2*(SIN(RADIANS(B16))*SIN(RADIANS(C16))+SIN(RADIANS(B17))*SIN(RADIANS(C17)))*L17,4))</f>
        <v/>
      </c>
      <c r="H17" s="91">
        <f>IF(K17="","",IF(A17=A16,0,K17*100/(A17-A16)))</f>
        <v/>
      </c>
      <c r="I17" s="92">
        <f>IF(A17="",9.9E+99,A17)</f>
        <v/>
      </c>
      <c r="J17" s="92">
        <f>IF(D17="",0,D17)</f>
        <v/>
      </c>
      <c r="K17" s="92">
        <f>IF(OR(A17="",A16=""),"",DEGREES(ACOS(MIN(1,MAX(-1,COS(RADIANS(B16))*COS(RADIANS(B17))+SIN(RADIANS(B16))*SIN(RADIANS(B17))*COS(RADIANS(C17-C16)))))))</f>
        <v/>
      </c>
      <c r="L17" s="92">
        <f>IF(K17="","",IF(K17=0,1,2/RADIANS(K17)*TAN(RADIANS(K17)/2)))</f>
        <v/>
      </c>
      <c r="M17" s="92">
        <f>IF($A17="",NA(),E17)</f>
        <v/>
      </c>
      <c r="N17" s="92">
        <f>IF($A17="",NA(),D17)</f>
        <v/>
      </c>
      <c r="O17" s="92">
        <f>IF($A17="",NA(),G17)</f>
        <v/>
      </c>
      <c r="P17" s="92">
        <f>IF($A17="",NA(),F17)</f>
        <v/>
      </c>
    </row>
    <row r="18">
      <c r="A18" s="31" t="n">
        <v>5500</v>
      </c>
      <c r="B18" s="37" t="n">
        <v>50</v>
      </c>
      <c r="C18" s="37" t="n">
        <v>90</v>
      </c>
      <c r="D18" s="90">
        <f>IF(K18="","",D17+(A18-A17)/2*(COS(RADIANS(B17))+COS(RADIANS(B18)))*L18)</f>
        <v/>
      </c>
      <c r="E18" s="90">
        <f>IF(D18="","",F18*COS(RADIANS($B$3))+G18*SIN(RADIANS($B$3)))</f>
        <v/>
      </c>
      <c r="F18" s="90">
        <f>IF(K18="","",ROUND(F17+(A18-A17)/2*(SIN(RADIANS(B17))*COS(RADIANS(C17))+SIN(RADIANS(B18))*COS(RADIANS(C18)))*L18,4))</f>
        <v/>
      </c>
      <c r="G18" s="90">
        <f>IF(K18="","",ROUND(G17+(A18-A17)/2*(SIN(RADIANS(B17))*SIN(RADIANS(C17))+SIN(RADIANS(B18))*SIN(RADIANS(C18)))*L18,4))</f>
        <v/>
      </c>
      <c r="H18" s="91">
        <f>IF(K18="","",IF(A18=A17,0,K18*100/(A18-A17)))</f>
        <v/>
      </c>
      <c r="I18" s="92">
        <f>IF(A18="",9.9E+99,A18)</f>
        <v/>
      </c>
      <c r="J18" s="92">
        <f>IF(D18="",0,D18)</f>
        <v/>
      </c>
      <c r="K18" s="92">
        <f>IF(OR(A18="",A17=""),"",DEGREES(ACOS(MIN(1,MAX(-1,COS(RADIANS(B17))*COS(RADIANS(B18))+SIN(RADIANS(B17))*SIN(RADIANS(B18))*COS(RADIANS(C18-C17)))))))</f>
        <v/>
      </c>
      <c r="L18" s="92">
        <f>IF(K18="","",IF(K18=0,1,2/RADIANS(K18)*TAN(RADIANS(K18)/2)))</f>
        <v/>
      </c>
      <c r="M18" s="92">
        <f>IF($A18="",NA(),E18)</f>
        <v/>
      </c>
      <c r="N18" s="92">
        <f>IF($A18="",NA(),D18)</f>
        <v/>
      </c>
      <c r="O18" s="92">
        <f>IF($A18="",NA(),G18)</f>
        <v/>
      </c>
      <c r="P18" s="92">
        <f>IF($A18="",NA(),F18)</f>
        <v/>
      </c>
    </row>
    <row r="19">
      <c r="A19" s="31" t="n">
        <v>5600</v>
      </c>
      <c r="B19" s="37" t="n">
        <v>60</v>
      </c>
      <c r="C19" s="37" t="n">
        <v>90</v>
      </c>
      <c r="D19" s="90">
        <f>IF(K19="","",D18+(A19-A18)/2*(COS(RADIANS(B18))+COS(RADIANS(B19)))*L19)</f>
        <v/>
      </c>
      <c r="E19" s="90">
        <f>IF(D19="","",F19*COS(RADIANS($B$3))+G19*SIN(RADIANS($B$3)))</f>
        <v/>
      </c>
      <c r="F19" s="90">
        <f>IF(K19="","",ROUND(F18+(A19-A18)/2*(SIN(RADIANS(B18))*COS(RADIANS(C18))+SIN(RADIANS(B19))*COS(RADIANS(C19)))*L19,4))</f>
        <v/>
      </c>
      <c r="G19" s="90">
        <f>IF(K19="","",ROUND(G18+(A19-A18)/2*(SIN(RADIANS(B18))*SIN(RADIANS(C18))+SIN(RADIANS(B19))*SIN(RADIANS(C19)))*L19,4))</f>
        <v/>
      </c>
      <c r="H19" s="91">
        <f>IF(K19="","",IF(A19=A18,0,K19*100/(A19-A18)))</f>
        <v/>
      </c>
      <c r="I19" s="92">
        <f>IF(A19="",9.9E+99,A19)</f>
        <v/>
      </c>
      <c r="J19" s="92">
        <f>IF(D19="",0,D19)</f>
        <v/>
      </c>
      <c r="K19" s="92">
        <f>IF(OR(A19="",A18=""),"",DEGREES(ACOS(MIN(1,MAX(-1,COS(RADIANS(B18))*COS(RADIANS(B19))+SIN(RADIANS(B18))*SIN(RADIANS(B19))*COS(RADIANS(C19-C18)))))))</f>
        <v/>
      </c>
      <c r="L19" s="92">
        <f>IF(K19="","",IF(K19=0,1,2/RADIANS(K19)*TAN(RADIANS(K19)/2)))</f>
        <v/>
      </c>
      <c r="M19" s="92">
        <f>IF($A19="",NA(),E19)</f>
        <v/>
      </c>
      <c r="N19" s="92">
        <f>IF($A19="",NA(),D19)</f>
        <v/>
      </c>
      <c r="O19" s="92">
        <f>IF($A19="",NA(),G19)</f>
        <v/>
      </c>
      <c r="P19" s="92">
        <f>IF($A19="",NA(),F19)</f>
        <v/>
      </c>
    </row>
    <row r="20">
      <c r="A20" s="31" t="n">
        <v>5700</v>
      </c>
      <c r="B20" s="37" t="n">
        <v>70</v>
      </c>
      <c r="C20" s="37" t="n">
        <v>90</v>
      </c>
      <c r="D20" s="90">
        <f>IF(K20="","",D19+(A20-A19)/2*(COS(RADIANS(B19))+COS(RADIANS(B20)))*L20)</f>
        <v/>
      </c>
      <c r="E20" s="90">
        <f>IF(D20="","",F20*COS(RADIANS($B$3))+G20*SIN(RADIANS($B$3)))</f>
        <v/>
      </c>
      <c r="F20" s="90">
        <f>IF(K20="","",ROUND(F19+(A20-A19)/2*(SIN(RADIANS(B19))*COS(RADIANS(C19))+SIN(RADIANS(B20))*COS(RADIANS(C20)))*L20,4))</f>
        <v/>
      </c>
      <c r="G20" s="90">
        <f>IF(K20="","",ROUND(G19+(A20-A19)/2*(SIN(RADIANS(B19))*SIN(RADIANS(C19))+SIN(RADIANS(B20))*SIN(RADIANS(C20)))*L20,4))</f>
        <v/>
      </c>
      <c r="H20" s="91">
        <f>IF(K20="","",IF(A20=A19,0,K20*100/(A20-A19)))</f>
        <v/>
      </c>
      <c r="I20" s="92">
        <f>IF(A20="",9.9E+99,A20)</f>
        <v/>
      </c>
      <c r="J20" s="92">
        <f>IF(D20="",0,D20)</f>
        <v/>
      </c>
      <c r="K20" s="92">
        <f>IF(OR(A20="",A19=""),"",DEGREES(ACOS(MIN(1,MAX(-1,COS(RADIANS(B19))*COS(RADIANS(B20))+SIN(RADIANS(B19))*SIN(RADIANS(B20))*COS(RADIANS(C20-C19)))))))</f>
        <v/>
      </c>
      <c r="L20" s="92">
        <f>IF(K20="","",IF(K20=0,1,2/RADIANS(K20)*TAN(RADIANS(K20)/2)))</f>
        <v/>
      </c>
      <c r="M20" s="92">
        <f>IF($A20="",NA(),E20)</f>
        <v/>
      </c>
      <c r="N20" s="92">
        <f>IF($A20="",NA(),D20)</f>
        <v/>
      </c>
      <c r="O20" s="92">
        <f>IF($A20="",NA(),G20)</f>
        <v/>
      </c>
      <c r="P20" s="92">
        <f>IF($A20="",NA(),F20)</f>
        <v/>
      </c>
    </row>
    <row r="21">
      <c r="A21" s="31" t="n">
        <v>5800</v>
      </c>
      <c r="B21" s="37" t="n">
        <v>80</v>
      </c>
      <c r="C21" s="37" t="n">
        <v>90</v>
      </c>
      <c r="D21" s="90">
        <f>IF(K21="","",D20+(A21-A20)/2*(COS(RADIANS(B20))+COS(RADIANS(B21)))*L21)</f>
        <v/>
      </c>
      <c r="E21" s="90">
        <f>IF(D21="","",F21*COS(RADIANS($B$3))+G21*SIN(RADIANS($B$3)))</f>
        <v/>
      </c>
      <c r="F21" s="90">
        <f>IF(K21="","",ROUND(F20+(A21-A20)/2*(SIN(RADIANS(B20))*COS(RADIANS(C20))+SIN(RADIANS(B21))*COS(RADIANS(C21)))*L21,4))</f>
        <v/>
      </c>
      <c r="G21" s="90">
        <f>IF(K21="","",ROUND(G20+(A21-A20)/2*(SIN(RADIANS(B20))*SIN(RADIANS(C20))+SIN(RADIANS(B21))*SIN(RADIANS(C21)))*L21,4))</f>
        <v/>
      </c>
      <c r="H21" s="91">
        <f>IF(K21="","",IF(A21=A20,0,K21*100/(A21-A20)))</f>
        <v/>
      </c>
      <c r="I21" s="92">
        <f>IF(A21="",9.9E+99,A21)</f>
        <v/>
      </c>
      <c r="J21" s="92">
        <f>IF(D21="",0,D21)</f>
        <v/>
      </c>
      <c r="K21" s="92">
        <f>IF(OR(A21="",A20=""),"",DEGREES(ACOS(MIN(1,MAX(-1,COS(RADIANS(B20))*COS(RADIANS(B21))+SIN(RADIANS(B20))*SIN(RADIANS(B21))*COS(RADIANS(C21-C20)))))))</f>
        <v/>
      </c>
      <c r="L21" s="92">
        <f>IF(K21="","",IF(K21=0,1,2/RADIANS(K21)*TAN(RADIANS(K21)/2)))</f>
        <v/>
      </c>
      <c r="M21" s="92">
        <f>IF($A21="",NA(),E21)</f>
        <v/>
      </c>
      <c r="N21" s="92">
        <f>IF($A21="",NA(),D21)</f>
        <v/>
      </c>
      <c r="O21" s="92">
        <f>IF($A21="",NA(),G21)</f>
        <v/>
      </c>
      <c r="P21" s="92">
        <f>IF($A21="",NA(),F21)</f>
        <v/>
      </c>
    </row>
    <row r="22">
      <c r="A22" s="31" t="n">
        <v>5900</v>
      </c>
      <c r="B22" s="37" t="n">
        <v>90</v>
      </c>
      <c r="C22" s="37" t="n">
        <v>90</v>
      </c>
      <c r="D22" s="90">
        <f>IF(K22="","",D21+(A22-A21)/2*(COS(RADIANS(B21))+COS(RADIANS(B22)))*L22)</f>
        <v/>
      </c>
      <c r="E22" s="90">
        <f>IF(D22="","",F22*COS(RADIANS($B$3))+G22*SIN(RADIANS($B$3)))</f>
        <v/>
      </c>
      <c r="F22" s="90">
        <f>IF(K22="","",ROUND(F21+(A22-A21)/2*(SIN(RADIANS(B21))*COS(RADIANS(C21))+SIN(RADIANS(B22))*COS(RADIANS(C22)))*L22,4))</f>
        <v/>
      </c>
      <c r="G22" s="90">
        <f>IF(K22="","",ROUND(G21+(A22-A21)/2*(SIN(RADIANS(B21))*SIN(RADIANS(C21))+SIN(RADIANS(B22))*SIN(RADIANS(C22)))*L22,4))</f>
        <v/>
      </c>
      <c r="H22" s="91">
        <f>IF(K22="","",IF(A22=A21,0,K22*100/(A22-A21)))</f>
        <v/>
      </c>
      <c r="I22" s="92">
        <f>IF(A22="",9.9E+99,A22)</f>
        <v/>
      </c>
      <c r="J22" s="92">
        <f>IF(D22="",0,D22)</f>
        <v/>
      </c>
      <c r="K22" s="92">
        <f>IF(OR(A22="",A21=""),"",DEGREES(ACOS(MIN(1,MAX(-1,COS(RADIANS(B21))*COS(RADIANS(B22))+SIN(RADIANS(B21))*SIN(RADIANS(B22))*COS(RADIANS(C22-C21)))))))</f>
        <v/>
      </c>
      <c r="L22" s="92">
        <f>IF(K22="","",IF(K22=0,1,2/RADIANS(K22)*TAN(RADIANS(K22)/2)))</f>
        <v/>
      </c>
      <c r="M22" s="92">
        <f>IF($A22="",NA(),E22)</f>
        <v/>
      </c>
      <c r="N22" s="92">
        <f>IF($A22="",NA(),D22)</f>
        <v/>
      </c>
      <c r="O22" s="92">
        <f>IF($A22="",NA(),G22)</f>
        <v/>
      </c>
      <c r="P22" s="92">
        <f>IF($A22="",NA(),F22)</f>
        <v/>
      </c>
    </row>
    <row r="23">
      <c r="A23" s="31" t="n">
        <v>6000</v>
      </c>
      <c r="B23" s="37" t="n">
        <v>90</v>
      </c>
      <c r="C23" s="37" t="n">
        <v>90</v>
      </c>
      <c r="D23" s="90">
        <f>IF(K23="","",D22+(A23-A22)/2*(COS(RADIANS(B22))+COS(RADIANS(B23)))*L23)</f>
        <v/>
      </c>
      <c r="E23" s="90">
        <f>IF(D23="","",F23*COS(RADIANS($B$3))+G23*SIN(RADIANS($B$3)))</f>
        <v/>
      </c>
      <c r="F23" s="90">
        <f>IF(K23="","",ROUND(F22+(A23-A22)/2*(SIN(RADIANS(B22))*COS(RADIANS(C22))+SIN(RADIANS(B23))*COS(RADIANS(C23)))*L23,4))</f>
        <v/>
      </c>
      <c r="G23" s="90">
        <f>IF(K23="","",ROUND(G22+(A23-A22)/2*(SIN(RADIANS(B22))*SIN(RADIANS(C22))+SIN(RADIANS(B23))*SIN(RADIANS(C23)))*L23,4))</f>
        <v/>
      </c>
      <c r="H23" s="91">
        <f>IF(K23="","",IF(A23=A22,0,K23*100/(A23-A22)))</f>
        <v/>
      </c>
      <c r="I23" s="92">
        <f>IF(A23="",9.9E+99,A23)</f>
        <v/>
      </c>
      <c r="J23" s="92">
        <f>IF(D23="",0,D23)</f>
        <v/>
      </c>
      <c r="K23" s="92">
        <f>IF(OR(A23="",A22=""),"",DEGREES(ACOS(MIN(1,MAX(-1,COS(RADIANS(B22))*COS(RADIANS(B23))+SIN(RADIANS(B22))*SIN(RADIANS(B23))*COS(RADIANS(C23-C22)))))))</f>
        <v/>
      </c>
      <c r="L23" s="92">
        <f>IF(K23="","",IF(K23=0,1,2/RADIANS(K23)*TAN(RADIANS(K23)/2)))</f>
        <v/>
      </c>
      <c r="M23" s="92">
        <f>IF($A23="",NA(),E23)</f>
        <v/>
      </c>
      <c r="N23" s="92">
        <f>IF($A23="",NA(),D23)</f>
        <v/>
      </c>
      <c r="O23" s="92">
        <f>IF($A23="",NA(),G23)</f>
        <v/>
      </c>
      <c r="P23" s="92">
        <f>IF($A23="",NA(),F23)</f>
        <v/>
      </c>
    </row>
    <row r="24">
      <c r="A24" s="31" t="n">
        <v>6500</v>
      </c>
      <c r="B24" s="37" t="n">
        <v>90</v>
      </c>
      <c r="C24" s="37" t="n">
        <v>90</v>
      </c>
      <c r="D24" s="90">
        <f>IF(K24="","",D23+(A24-A23)/2*(COS(RADIANS(B23))+COS(RADIANS(B24)))*L24)</f>
        <v/>
      </c>
      <c r="E24" s="90">
        <f>IF(D24="","",F24*COS(RADIANS($B$3))+G24*SIN(RADIANS($B$3)))</f>
        <v/>
      </c>
      <c r="F24" s="90">
        <f>IF(K24="","",ROUND(F23+(A24-A23)/2*(SIN(RADIANS(B23))*COS(RADIANS(C23))+SIN(RADIANS(B24))*COS(RADIANS(C24)))*L24,4))</f>
        <v/>
      </c>
      <c r="G24" s="90">
        <f>IF(K24="","",ROUND(G23+(A24-A23)/2*(SIN(RADIANS(B23))*SIN(RADIANS(C23))+SIN(RADIANS(B24))*SIN(RADIANS(C24)))*L24,4))</f>
        <v/>
      </c>
      <c r="H24" s="91">
        <f>IF(K24="","",IF(A24=A23,0,K24*100/(A24-A23)))</f>
        <v/>
      </c>
      <c r="I24" s="92">
        <f>IF(A24="",9.9E+99,A24)</f>
        <v/>
      </c>
      <c r="J24" s="92">
        <f>IF(D24="",0,D24)</f>
        <v/>
      </c>
      <c r="K24" s="92">
        <f>IF(OR(A24="",A23=""),"",DEGREES(ACOS(MIN(1,MAX(-1,COS(RADIANS(B23))*COS(RADIANS(B24))+SIN(RADIANS(B23))*SIN(RADIANS(B24))*COS(RADIANS(C24-C23)))))))</f>
        <v/>
      </c>
      <c r="L24" s="92">
        <f>IF(K24="","",IF(K24=0,1,2/RADIANS(K24)*TAN(RADIANS(K24)/2)))</f>
        <v/>
      </c>
      <c r="M24" s="92">
        <f>IF($A24="",NA(),E24)</f>
        <v/>
      </c>
      <c r="N24" s="92">
        <f>IF($A24="",NA(),D24)</f>
        <v/>
      </c>
      <c r="O24" s="92">
        <f>IF($A24="",NA(),G24)</f>
        <v/>
      </c>
      <c r="P24" s="92">
        <f>IF($A24="",NA(),F24)</f>
        <v/>
      </c>
    </row>
    <row r="25">
      <c r="A25" s="31" t="n">
        <v>7000</v>
      </c>
      <c r="B25" s="37" t="n">
        <v>90</v>
      </c>
      <c r="C25" s="37" t="n">
        <v>90</v>
      </c>
      <c r="D25" s="90">
        <f>IF(K25="","",D24+(A25-A24)/2*(COS(RADIANS(B24))+COS(RADIANS(B25)))*L25)</f>
        <v/>
      </c>
      <c r="E25" s="90">
        <f>IF(D25="","",F25*COS(RADIANS($B$3))+G25*SIN(RADIANS($B$3)))</f>
        <v/>
      </c>
      <c r="F25" s="90">
        <f>IF(K25="","",ROUND(F24+(A25-A24)/2*(SIN(RADIANS(B24))*COS(RADIANS(C24))+SIN(RADIANS(B25))*COS(RADIANS(C25)))*L25,4))</f>
        <v/>
      </c>
      <c r="G25" s="90">
        <f>IF(K25="","",ROUND(G24+(A25-A24)/2*(SIN(RADIANS(B24))*SIN(RADIANS(C24))+SIN(RADIANS(B25))*SIN(RADIANS(C25)))*L25,4))</f>
        <v/>
      </c>
      <c r="H25" s="91">
        <f>IF(K25="","",IF(A25=A24,0,K25*100/(A25-A24)))</f>
        <v/>
      </c>
      <c r="I25" s="92">
        <f>IF(A25="",9.9E+99,A25)</f>
        <v/>
      </c>
      <c r="J25" s="92">
        <f>IF(D25="",0,D25)</f>
        <v/>
      </c>
      <c r="K25" s="92">
        <f>IF(OR(A25="",A24=""),"",DEGREES(ACOS(MIN(1,MAX(-1,COS(RADIANS(B24))*COS(RADIANS(B25))+SIN(RADIANS(B24))*SIN(RADIANS(B25))*COS(RADIANS(C25-C24)))))))</f>
        <v/>
      </c>
      <c r="L25" s="92">
        <f>IF(K25="","",IF(K25=0,1,2/RADIANS(K25)*TAN(RADIANS(K25)/2)))</f>
        <v/>
      </c>
      <c r="M25" s="92">
        <f>IF($A25="",NA(),E25)</f>
        <v/>
      </c>
      <c r="N25" s="92">
        <f>IF($A25="",NA(),D25)</f>
        <v/>
      </c>
      <c r="O25" s="92">
        <f>IF($A25="",NA(),G25)</f>
        <v/>
      </c>
      <c r="P25" s="92">
        <f>IF($A25="",NA(),F25)</f>
        <v/>
      </c>
    </row>
    <row r="26">
      <c r="A26" s="31" t="n">
        <v>7500</v>
      </c>
      <c r="B26" s="37" t="n">
        <v>90</v>
      </c>
      <c r="C26" s="37" t="n">
        <v>90</v>
      </c>
      <c r="D26" s="90">
        <f>IF(K26="","",D25+(A26-A25)/2*(COS(RADIANS(B25))+COS(RADIANS(B26)))*L26)</f>
        <v/>
      </c>
      <c r="E26" s="90">
        <f>IF(D26="","",F26*COS(RADIANS($B$3))+G26*SIN(RADIANS($B$3)))</f>
        <v/>
      </c>
      <c r="F26" s="90">
        <f>IF(K26="","",ROUND(F25+(A26-A25)/2*(SIN(RADIANS(B25))*COS(RADIANS(C25))+SIN(RADIANS(B26))*COS(RADIANS(C26)))*L26,4))</f>
        <v/>
      </c>
      <c r="G26" s="90">
        <f>IF(K26="","",ROUND(G25+(A26-A25)/2*(SIN(RADIANS(B25))*SIN(RADIANS(C25))+SIN(RADIANS(B26))*SIN(RADIANS(C26)))*L26,4))</f>
        <v/>
      </c>
      <c r="H26" s="91">
        <f>IF(K26="","",IF(A26=A25,0,K26*100/(A26-A25)))</f>
        <v/>
      </c>
      <c r="I26" s="92">
        <f>IF(A26="",9.9E+99,A26)</f>
        <v/>
      </c>
      <c r="J26" s="92">
        <f>IF(D26="",0,D26)</f>
        <v/>
      </c>
      <c r="K26" s="92">
        <f>IF(OR(A26="",A25=""),"",DEGREES(ACOS(MIN(1,MAX(-1,COS(RADIANS(B25))*COS(RADIANS(B26))+SIN(RADIANS(B25))*SIN(RADIANS(B26))*COS(RADIANS(C26-C25)))))))</f>
        <v/>
      </c>
      <c r="L26" s="92">
        <f>IF(K26="","",IF(K26=0,1,2/RADIANS(K26)*TAN(RADIANS(K26)/2)))</f>
        <v/>
      </c>
      <c r="M26" s="92">
        <f>IF($A26="",NA(),E26)</f>
        <v/>
      </c>
      <c r="N26" s="92">
        <f>IF($A26="",NA(),D26)</f>
        <v/>
      </c>
      <c r="O26" s="92">
        <f>IF($A26="",NA(),G26)</f>
        <v/>
      </c>
      <c r="P26" s="92">
        <f>IF($A26="",NA(),F26)</f>
        <v/>
      </c>
    </row>
    <row r="27">
      <c r="A27" s="31" t="n">
        <v>8000</v>
      </c>
      <c r="B27" s="37" t="n">
        <v>90</v>
      </c>
      <c r="C27" s="37" t="n">
        <v>90</v>
      </c>
      <c r="D27" s="90">
        <f>IF(K27="","",D26+(A27-A26)/2*(COS(RADIANS(B26))+COS(RADIANS(B27)))*L27)</f>
        <v/>
      </c>
      <c r="E27" s="90">
        <f>IF(D27="","",F27*COS(RADIANS($B$3))+G27*SIN(RADIANS($B$3)))</f>
        <v/>
      </c>
      <c r="F27" s="90">
        <f>IF(K27="","",ROUND(F26+(A27-A26)/2*(SIN(RADIANS(B26))*COS(RADIANS(C26))+SIN(RADIANS(B27))*COS(RADIANS(C27)))*L27,4))</f>
        <v/>
      </c>
      <c r="G27" s="90">
        <f>IF(K27="","",ROUND(G26+(A27-A26)/2*(SIN(RADIANS(B26))*SIN(RADIANS(C26))+SIN(RADIANS(B27))*SIN(RADIANS(C27)))*L27,4))</f>
        <v/>
      </c>
      <c r="H27" s="91">
        <f>IF(K27="","",IF(A27=A26,0,K27*100/(A27-A26)))</f>
        <v/>
      </c>
      <c r="I27" s="92">
        <f>IF(A27="",9.9E+99,A27)</f>
        <v/>
      </c>
      <c r="J27" s="92">
        <f>IF(D27="",0,D27)</f>
        <v/>
      </c>
      <c r="K27" s="92">
        <f>IF(OR(A27="",A26=""),"",DEGREES(ACOS(MIN(1,MAX(-1,COS(RADIANS(B26))*COS(RADIANS(B27))+SIN(RADIANS(B26))*SIN(RADIANS(B27))*COS(RADIANS(C27-C26)))))))</f>
        <v/>
      </c>
      <c r="L27" s="92">
        <f>IF(K27="","",IF(K27=0,1,2/RADIANS(K27)*TAN(RADIANS(K27)/2)))</f>
        <v/>
      </c>
      <c r="M27" s="92">
        <f>IF($A27="",NA(),E27)</f>
        <v/>
      </c>
      <c r="N27" s="92">
        <f>IF($A27="",NA(),D27)</f>
        <v/>
      </c>
      <c r="O27" s="92">
        <f>IF($A27="",NA(),G27)</f>
        <v/>
      </c>
      <c r="P27" s="92">
        <f>IF($A27="",NA(),F27)</f>
        <v/>
      </c>
    </row>
    <row r="28">
      <c r="A28" s="31" t="n">
        <v>8500</v>
      </c>
      <c r="B28" s="37" t="n">
        <v>90</v>
      </c>
      <c r="C28" s="37" t="n">
        <v>90</v>
      </c>
      <c r="D28" s="90">
        <f>IF(K28="","",D27+(A28-A27)/2*(COS(RADIANS(B27))+COS(RADIANS(B28)))*L28)</f>
        <v/>
      </c>
      <c r="E28" s="90">
        <f>IF(D28="","",F28*COS(RADIANS($B$3))+G28*SIN(RADIANS($B$3)))</f>
        <v/>
      </c>
      <c r="F28" s="90">
        <f>IF(K28="","",ROUND(F27+(A28-A27)/2*(SIN(RADIANS(B27))*COS(RADIANS(C27))+SIN(RADIANS(B28))*COS(RADIANS(C28)))*L28,4))</f>
        <v/>
      </c>
      <c r="G28" s="90">
        <f>IF(K28="","",ROUND(G27+(A28-A27)/2*(SIN(RADIANS(B27))*SIN(RADIANS(C27))+SIN(RADIANS(B28))*SIN(RADIANS(C28)))*L28,4))</f>
        <v/>
      </c>
      <c r="H28" s="91">
        <f>IF(K28="","",IF(A28=A27,0,K28*100/(A28-A27)))</f>
        <v/>
      </c>
      <c r="I28" s="92">
        <f>IF(A28="",9.9E+99,A28)</f>
        <v/>
      </c>
      <c r="J28" s="92">
        <f>IF(D28="",0,D28)</f>
        <v/>
      </c>
      <c r="K28" s="92">
        <f>IF(OR(A28="",A27=""),"",DEGREES(ACOS(MIN(1,MAX(-1,COS(RADIANS(B27))*COS(RADIANS(B28))+SIN(RADIANS(B27))*SIN(RADIANS(B28))*COS(RADIANS(C28-C27)))))))</f>
        <v/>
      </c>
      <c r="L28" s="92">
        <f>IF(K28="","",IF(K28=0,1,2/RADIANS(K28)*TAN(RADIANS(K28)/2)))</f>
        <v/>
      </c>
      <c r="M28" s="92">
        <f>IF($A28="",NA(),E28)</f>
        <v/>
      </c>
      <c r="N28" s="92">
        <f>IF($A28="",NA(),D28)</f>
        <v/>
      </c>
      <c r="O28" s="92">
        <f>IF($A28="",NA(),G28)</f>
        <v/>
      </c>
      <c r="P28" s="92">
        <f>IF($A28="",NA(),F28)</f>
        <v/>
      </c>
    </row>
    <row r="29">
      <c r="A29" s="31" t="n">
        <v>9000</v>
      </c>
      <c r="B29" s="37" t="n">
        <v>90</v>
      </c>
      <c r="C29" s="37" t="n">
        <v>90</v>
      </c>
      <c r="D29" s="90">
        <f>IF(K29="","",D28+(A29-A28)/2*(COS(RADIANS(B28))+COS(RADIANS(B29)))*L29)</f>
        <v/>
      </c>
      <c r="E29" s="90">
        <f>IF(D29="","",F29*COS(RADIANS($B$3))+G29*SIN(RADIANS($B$3)))</f>
        <v/>
      </c>
      <c r="F29" s="90">
        <f>IF(K29="","",ROUND(F28+(A29-A28)/2*(SIN(RADIANS(B28))*COS(RADIANS(C28))+SIN(RADIANS(B29))*COS(RADIANS(C29)))*L29,4))</f>
        <v/>
      </c>
      <c r="G29" s="90">
        <f>IF(K29="","",ROUND(G28+(A29-A28)/2*(SIN(RADIANS(B28))*SIN(RADIANS(C28))+SIN(RADIANS(B29))*SIN(RADIANS(C29)))*L29,4))</f>
        <v/>
      </c>
      <c r="H29" s="91">
        <f>IF(K29="","",IF(A29=A28,0,K29*100/(A29-A28)))</f>
        <v/>
      </c>
      <c r="I29" s="92">
        <f>IF(A29="",9.9E+99,A29)</f>
        <v/>
      </c>
      <c r="J29" s="92">
        <f>IF(D29="",0,D29)</f>
        <v/>
      </c>
      <c r="K29" s="92">
        <f>IF(OR(A29="",A28=""),"",DEGREES(ACOS(MIN(1,MAX(-1,COS(RADIANS(B28))*COS(RADIANS(B29))+SIN(RADIANS(B28))*SIN(RADIANS(B29))*COS(RADIANS(C29-C28)))))))</f>
        <v/>
      </c>
      <c r="L29" s="92">
        <f>IF(K29="","",IF(K29=0,1,2/RADIANS(K29)*TAN(RADIANS(K29)/2)))</f>
        <v/>
      </c>
      <c r="M29" s="92">
        <f>IF($A29="",NA(),E29)</f>
        <v/>
      </c>
      <c r="N29" s="92">
        <f>IF($A29="",NA(),D29)</f>
        <v/>
      </c>
      <c r="O29" s="92">
        <f>IF($A29="",NA(),G29)</f>
        <v/>
      </c>
      <c r="P29" s="92">
        <f>IF($A29="",NA(),F29)</f>
        <v/>
      </c>
    </row>
    <row r="30">
      <c r="A30" s="31" t="n">
        <v>9500</v>
      </c>
      <c r="B30" s="37" t="n">
        <v>90</v>
      </c>
      <c r="C30" s="37" t="n">
        <v>90</v>
      </c>
      <c r="D30" s="90">
        <f>IF(K30="","",D29+(A30-A29)/2*(COS(RADIANS(B29))+COS(RADIANS(B30)))*L30)</f>
        <v/>
      </c>
      <c r="E30" s="90">
        <f>IF(D30="","",F30*COS(RADIANS($B$3))+G30*SIN(RADIANS($B$3)))</f>
        <v/>
      </c>
      <c r="F30" s="90">
        <f>IF(K30="","",ROUND(F29+(A30-A29)/2*(SIN(RADIANS(B29))*COS(RADIANS(C29))+SIN(RADIANS(B30))*COS(RADIANS(C30)))*L30,4))</f>
        <v/>
      </c>
      <c r="G30" s="90">
        <f>IF(K30="","",ROUND(G29+(A30-A29)/2*(SIN(RADIANS(B29))*SIN(RADIANS(C29))+SIN(RADIANS(B30))*SIN(RADIANS(C30)))*L30,4))</f>
        <v/>
      </c>
      <c r="H30" s="91">
        <f>IF(K30="","",IF(A30=A29,0,K30*100/(A30-A29)))</f>
        <v/>
      </c>
      <c r="I30" s="92">
        <f>IF(A30="",9.9E+99,A30)</f>
        <v/>
      </c>
      <c r="J30" s="92">
        <f>IF(D30="",0,D30)</f>
        <v/>
      </c>
      <c r="K30" s="92">
        <f>IF(OR(A30="",A29=""),"",DEGREES(ACOS(MIN(1,MAX(-1,COS(RADIANS(B29))*COS(RADIANS(B30))+SIN(RADIANS(B29))*SIN(RADIANS(B30))*COS(RADIANS(C30-C29)))))))</f>
        <v/>
      </c>
      <c r="L30" s="92">
        <f>IF(K30="","",IF(K30=0,1,2/RADIANS(K30)*TAN(RADIANS(K30)/2)))</f>
        <v/>
      </c>
      <c r="M30" s="92">
        <f>IF($A30="",NA(),E30)</f>
        <v/>
      </c>
      <c r="N30" s="92">
        <f>IF($A30="",NA(),D30)</f>
        <v/>
      </c>
      <c r="O30" s="92">
        <f>IF($A30="",NA(),G30)</f>
        <v/>
      </c>
      <c r="P30" s="92">
        <f>IF($A30="",NA(),F30)</f>
        <v/>
      </c>
    </row>
    <row r="31">
      <c r="A31" s="31" t="n">
        <v>10000</v>
      </c>
      <c r="B31" s="37" t="n">
        <v>90</v>
      </c>
      <c r="C31" s="37" t="n">
        <v>90</v>
      </c>
      <c r="D31" s="90">
        <f>IF(K31="","",D30+(A31-A30)/2*(COS(RADIANS(B30))+COS(RADIANS(B31)))*L31)</f>
        <v/>
      </c>
      <c r="E31" s="90">
        <f>IF(D31="","",F31*COS(RADIANS($B$3))+G31*SIN(RADIANS($B$3)))</f>
        <v/>
      </c>
      <c r="F31" s="90">
        <f>IF(K31="","",ROUND(F30+(A31-A30)/2*(SIN(RADIANS(B30))*COS(RADIANS(C30))+SIN(RADIANS(B31))*COS(RADIANS(C31)))*L31,4))</f>
        <v/>
      </c>
      <c r="G31" s="90">
        <f>IF(K31="","",ROUND(G30+(A31-A30)/2*(SIN(RADIANS(B30))*SIN(RADIANS(C30))+SIN(RADIANS(B31))*SIN(RADIANS(C31)))*L31,4))</f>
        <v/>
      </c>
      <c r="H31" s="91">
        <f>IF(K31="","",IF(A31=A30,0,K31*100/(A31-A30)))</f>
        <v/>
      </c>
      <c r="I31" s="92">
        <f>IF(A31="",9.9E+99,A31)</f>
        <v/>
      </c>
      <c r="J31" s="92">
        <f>IF(D31="",0,D31)</f>
        <v/>
      </c>
      <c r="K31" s="92">
        <f>IF(OR(A31="",A30=""),"",DEGREES(ACOS(MIN(1,MAX(-1,COS(RADIANS(B30))*COS(RADIANS(B31))+SIN(RADIANS(B30))*SIN(RADIANS(B31))*COS(RADIANS(C31-C30)))))))</f>
        <v/>
      </c>
      <c r="L31" s="92">
        <f>IF(K31="","",IF(K31=0,1,2/RADIANS(K31)*TAN(RADIANS(K31)/2)))</f>
        <v/>
      </c>
      <c r="M31" s="92">
        <f>IF($A31="",NA(),E31)</f>
        <v/>
      </c>
      <c r="N31" s="92">
        <f>IF($A31="",NA(),D31)</f>
        <v/>
      </c>
      <c r="O31" s="92">
        <f>IF($A31="",NA(),G31)</f>
        <v/>
      </c>
      <c r="P31" s="92">
        <f>IF($A31="",NA(),F31)</f>
        <v/>
      </c>
    </row>
    <row r="32">
      <c r="A32" s="31" t="n">
        <v>10500</v>
      </c>
      <c r="B32" s="37" t="n">
        <v>90</v>
      </c>
      <c r="C32" s="37" t="n">
        <v>90</v>
      </c>
      <c r="D32" s="90">
        <f>IF(K32="","",D31+(A32-A31)/2*(COS(RADIANS(B31))+COS(RADIANS(B32)))*L32)</f>
        <v/>
      </c>
      <c r="E32" s="90">
        <f>IF(D32="","",F32*COS(RADIANS($B$3))+G32*SIN(RADIANS($B$3)))</f>
        <v/>
      </c>
      <c r="F32" s="90">
        <f>IF(K32="","",ROUND(F31+(A32-A31)/2*(SIN(RADIANS(B31))*COS(RADIANS(C31))+SIN(RADIANS(B32))*COS(RADIANS(C32)))*L32,4))</f>
        <v/>
      </c>
      <c r="G32" s="90">
        <f>IF(K32="","",ROUND(G31+(A32-A31)/2*(SIN(RADIANS(B31))*SIN(RADIANS(C31))+SIN(RADIANS(B32))*SIN(RADIANS(C32)))*L32,4))</f>
        <v/>
      </c>
      <c r="H32" s="91">
        <f>IF(K32="","",IF(A32=A31,0,K32*100/(A32-A31)))</f>
        <v/>
      </c>
      <c r="I32" s="92">
        <f>IF(A32="",9.9E+99,A32)</f>
        <v/>
      </c>
      <c r="J32" s="92">
        <f>IF(D32="",0,D32)</f>
        <v/>
      </c>
      <c r="K32" s="92">
        <f>IF(OR(A32="",A31=""),"",DEGREES(ACOS(MIN(1,MAX(-1,COS(RADIANS(B31))*COS(RADIANS(B32))+SIN(RADIANS(B31))*SIN(RADIANS(B32))*COS(RADIANS(C32-C31)))))))</f>
        <v/>
      </c>
      <c r="L32" s="92">
        <f>IF(K32="","",IF(K32=0,1,2/RADIANS(K32)*TAN(RADIANS(K32)/2)))</f>
        <v/>
      </c>
      <c r="M32" s="92">
        <f>IF($A32="",NA(),E32)</f>
        <v/>
      </c>
      <c r="N32" s="92">
        <f>IF($A32="",NA(),D32)</f>
        <v/>
      </c>
      <c r="O32" s="92">
        <f>IF($A32="",NA(),G32)</f>
        <v/>
      </c>
      <c r="P32" s="92">
        <f>IF($A32="",NA(),F32)</f>
        <v/>
      </c>
    </row>
    <row r="33">
      <c r="A33" s="31" t="n"/>
      <c r="B33" s="37" t="n"/>
      <c r="C33" s="37" t="n"/>
      <c r="D33" s="90">
        <f>IF(K33="","",D32+(A33-A32)/2*(COS(RADIANS(B32))+COS(RADIANS(B33)))*L33)</f>
        <v/>
      </c>
      <c r="E33" s="90">
        <f>IF(D33="","",F33*COS(RADIANS($B$3))+G33*SIN(RADIANS($B$3)))</f>
        <v/>
      </c>
      <c r="F33" s="90">
        <f>IF(K33="","",ROUND(F32+(A33-A32)/2*(SIN(RADIANS(B32))*COS(RADIANS(C32))+SIN(RADIANS(B33))*COS(RADIANS(C33)))*L33,4))</f>
        <v/>
      </c>
      <c r="G33" s="90">
        <f>IF(K33="","",ROUND(G32+(A33-A32)/2*(SIN(RADIANS(B32))*SIN(RADIANS(C32))+SIN(RADIANS(B33))*SIN(RADIANS(C33)))*L33,4))</f>
        <v/>
      </c>
      <c r="H33" s="91">
        <f>IF(K33="","",IF(A33=A32,0,K33*100/(A33-A32)))</f>
        <v/>
      </c>
      <c r="I33" s="92">
        <f>IF(A33="",9.9E+99,A33)</f>
        <v/>
      </c>
      <c r="J33" s="92">
        <f>IF(D33="",0,D33)</f>
        <v/>
      </c>
      <c r="K33" s="92">
        <f>IF(OR(A33="",A32=""),"",DEGREES(ACOS(MIN(1,MAX(-1,COS(RADIANS(B32))*COS(RADIANS(B33))+SIN(RADIANS(B32))*SIN(RADIANS(B33))*COS(RADIANS(C33-C32)))))))</f>
        <v/>
      </c>
      <c r="L33" s="92">
        <f>IF(K33="","",IF(K33=0,1,2/RADIANS(K33)*TAN(RADIANS(K33)/2)))</f>
        <v/>
      </c>
      <c r="M33" s="92">
        <f>IF($A33="",NA(),E33)</f>
        <v/>
      </c>
      <c r="N33" s="92">
        <f>IF($A33="",NA(),D33)</f>
        <v/>
      </c>
      <c r="O33" s="92">
        <f>IF($A33="",NA(),G33)</f>
        <v/>
      </c>
      <c r="P33" s="92">
        <f>IF($A33="",NA(),F33)</f>
        <v/>
      </c>
    </row>
    <row r="34">
      <c r="A34" s="31" t="n"/>
      <c r="B34" s="37" t="n"/>
      <c r="C34" s="37" t="n"/>
      <c r="D34" s="90">
        <f>IF(K34="","",D33+(A34-A33)/2*(COS(RADIANS(B33))+COS(RADIANS(B34)))*L34)</f>
        <v/>
      </c>
      <c r="E34" s="90">
        <f>IF(D34="","",F34*COS(RADIANS($B$3))+G34*SIN(RADIANS($B$3)))</f>
        <v/>
      </c>
      <c r="F34" s="90">
        <f>IF(K34="","",ROUND(F33+(A34-A33)/2*(SIN(RADIANS(B33))*COS(RADIANS(C33))+SIN(RADIANS(B34))*COS(RADIANS(C34)))*L34,4))</f>
        <v/>
      </c>
      <c r="G34" s="90">
        <f>IF(K34="","",ROUND(G33+(A34-A33)/2*(SIN(RADIANS(B33))*SIN(RADIANS(C33))+SIN(RADIANS(B34))*SIN(RADIANS(C34)))*L34,4))</f>
        <v/>
      </c>
      <c r="H34" s="91">
        <f>IF(K34="","",IF(A34=A33,0,K34*100/(A34-A33)))</f>
        <v/>
      </c>
      <c r="I34" s="92">
        <f>IF(A34="",9.9E+99,A34)</f>
        <v/>
      </c>
      <c r="J34" s="92">
        <f>IF(D34="",0,D34)</f>
        <v/>
      </c>
      <c r="K34" s="92">
        <f>IF(OR(A34="",A33=""),"",DEGREES(ACOS(MIN(1,MAX(-1,COS(RADIANS(B33))*COS(RADIANS(B34))+SIN(RADIANS(B33))*SIN(RADIANS(B34))*COS(RADIANS(C34-C33)))))))</f>
        <v/>
      </c>
      <c r="L34" s="92">
        <f>IF(K34="","",IF(K34=0,1,2/RADIANS(K34)*TAN(RADIANS(K34)/2)))</f>
        <v/>
      </c>
      <c r="M34" s="92">
        <f>IF($A34="",NA(),E34)</f>
        <v/>
      </c>
      <c r="N34" s="92">
        <f>IF($A34="",NA(),D34)</f>
        <v/>
      </c>
      <c r="O34" s="92">
        <f>IF($A34="",NA(),G34)</f>
        <v/>
      </c>
      <c r="P34" s="92">
        <f>IF($A34="",NA(),F34)</f>
        <v/>
      </c>
    </row>
    <row r="35">
      <c r="A35" s="31" t="n"/>
      <c r="B35" s="37" t="n"/>
      <c r="C35" s="37" t="n"/>
      <c r="D35" s="90">
        <f>IF(K35="","",D34+(A35-A34)/2*(COS(RADIANS(B34))+COS(RADIANS(B35)))*L35)</f>
        <v/>
      </c>
      <c r="E35" s="90">
        <f>IF(D35="","",F35*COS(RADIANS($B$3))+G35*SIN(RADIANS($B$3)))</f>
        <v/>
      </c>
      <c r="F35" s="90">
        <f>IF(K35="","",ROUND(F34+(A35-A34)/2*(SIN(RADIANS(B34))*COS(RADIANS(C34))+SIN(RADIANS(B35))*COS(RADIANS(C35)))*L35,4))</f>
        <v/>
      </c>
      <c r="G35" s="90">
        <f>IF(K35="","",ROUND(G34+(A35-A34)/2*(SIN(RADIANS(B34))*SIN(RADIANS(C34))+SIN(RADIANS(B35))*SIN(RADIANS(C35)))*L35,4))</f>
        <v/>
      </c>
      <c r="H35" s="91">
        <f>IF(K35="","",IF(A35=A34,0,K35*100/(A35-A34)))</f>
        <v/>
      </c>
      <c r="I35" s="92">
        <f>IF(A35="",9.9E+99,A35)</f>
        <v/>
      </c>
      <c r="J35" s="92">
        <f>IF(D35="",0,D35)</f>
        <v/>
      </c>
      <c r="K35" s="92">
        <f>IF(OR(A35="",A34=""),"",DEGREES(ACOS(MIN(1,MAX(-1,COS(RADIANS(B34))*COS(RADIANS(B35))+SIN(RADIANS(B34))*SIN(RADIANS(B35))*COS(RADIANS(C35-C34)))))))</f>
        <v/>
      </c>
      <c r="L35" s="92">
        <f>IF(K35="","",IF(K35=0,1,2/RADIANS(K35)*TAN(RADIANS(K35)/2)))</f>
        <v/>
      </c>
      <c r="M35" s="92">
        <f>IF($A35="",NA(),E35)</f>
        <v/>
      </c>
      <c r="N35" s="92">
        <f>IF($A35="",NA(),D35)</f>
        <v/>
      </c>
      <c r="O35" s="92">
        <f>IF($A35="",NA(),G35)</f>
        <v/>
      </c>
      <c r="P35" s="92">
        <f>IF($A35="",NA(),F35)</f>
        <v/>
      </c>
    </row>
    <row r="36">
      <c r="A36" s="31" t="n"/>
      <c r="B36" s="37" t="n"/>
      <c r="C36" s="37" t="n"/>
      <c r="D36" s="90">
        <f>IF(K36="","",D35+(A36-A35)/2*(COS(RADIANS(B35))+COS(RADIANS(B36)))*L36)</f>
        <v/>
      </c>
      <c r="E36" s="90">
        <f>IF(D36="","",F36*COS(RADIANS($B$3))+G36*SIN(RADIANS($B$3)))</f>
        <v/>
      </c>
      <c r="F36" s="90">
        <f>IF(K36="","",ROUND(F35+(A36-A35)/2*(SIN(RADIANS(B35))*COS(RADIANS(C35))+SIN(RADIANS(B36))*COS(RADIANS(C36)))*L36,4))</f>
        <v/>
      </c>
      <c r="G36" s="90">
        <f>IF(K36="","",ROUND(G35+(A36-A35)/2*(SIN(RADIANS(B35))*SIN(RADIANS(C35))+SIN(RADIANS(B36))*SIN(RADIANS(C36)))*L36,4))</f>
        <v/>
      </c>
      <c r="H36" s="91">
        <f>IF(K36="","",IF(A36=A35,0,K36*100/(A36-A35)))</f>
        <v/>
      </c>
      <c r="I36" s="92">
        <f>IF(A36="",9.9E+99,A36)</f>
        <v/>
      </c>
      <c r="J36" s="92">
        <f>IF(D36="",0,D36)</f>
        <v/>
      </c>
      <c r="K36" s="92">
        <f>IF(OR(A36="",A35=""),"",DEGREES(ACOS(MIN(1,MAX(-1,COS(RADIANS(B35))*COS(RADIANS(B36))+SIN(RADIANS(B35))*SIN(RADIANS(B36))*COS(RADIANS(C36-C35)))))))</f>
        <v/>
      </c>
      <c r="L36" s="92">
        <f>IF(K36="","",IF(K36=0,1,2/RADIANS(K36)*TAN(RADIANS(K36)/2)))</f>
        <v/>
      </c>
      <c r="M36" s="92">
        <f>IF($A36="",NA(),E36)</f>
        <v/>
      </c>
      <c r="N36" s="92">
        <f>IF($A36="",NA(),D36)</f>
        <v/>
      </c>
      <c r="O36" s="92">
        <f>IF($A36="",NA(),G36)</f>
        <v/>
      </c>
      <c r="P36" s="92">
        <f>IF($A36="",NA(),F36)</f>
        <v/>
      </c>
    </row>
    <row r="37">
      <c r="A37" s="31" t="n"/>
      <c r="B37" s="37" t="n"/>
      <c r="C37" s="37" t="n"/>
      <c r="D37" s="90">
        <f>IF(K37="","",D36+(A37-A36)/2*(COS(RADIANS(B36))+COS(RADIANS(B37)))*L37)</f>
        <v/>
      </c>
      <c r="E37" s="90">
        <f>IF(D37="","",F37*COS(RADIANS($B$3))+G37*SIN(RADIANS($B$3)))</f>
        <v/>
      </c>
      <c r="F37" s="90">
        <f>IF(K37="","",ROUND(F36+(A37-A36)/2*(SIN(RADIANS(B36))*COS(RADIANS(C36))+SIN(RADIANS(B37))*COS(RADIANS(C37)))*L37,4))</f>
        <v/>
      </c>
      <c r="G37" s="90">
        <f>IF(K37="","",ROUND(G36+(A37-A36)/2*(SIN(RADIANS(B36))*SIN(RADIANS(C36))+SIN(RADIANS(B37))*SIN(RADIANS(C37)))*L37,4))</f>
        <v/>
      </c>
      <c r="H37" s="91">
        <f>IF(K37="","",IF(A37=A36,0,K37*100/(A37-A36)))</f>
        <v/>
      </c>
      <c r="I37" s="92">
        <f>IF(A37="",9.9E+99,A37)</f>
        <v/>
      </c>
      <c r="J37" s="92">
        <f>IF(D37="",0,D37)</f>
        <v/>
      </c>
      <c r="K37" s="92">
        <f>IF(OR(A37="",A36=""),"",DEGREES(ACOS(MIN(1,MAX(-1,COS(RADIANS(B36))*COS(RADIANS(B37))+SIN(RADIANS(B36))*SIN(RADIANS(B37))*COS(RADIANS(C37-C36)))))))</f>
        <v/>
      </c>
      <c r="L37" s="92">
        <f>IF(K37="","",IF(K37=0,1,2/RADIANS(K37)*TAN(RADIANS(K37)/2)))</f>
        <v/>
      </c>
      <c r="M37" s="92">
        <f>IF($A37="",NA(),E37)</f>
        <v/>
      </c>
      <c r="N37" s="92">
        <f>IF($A37="",NA(),D37)</f>
        <v/>
      </c>
      <c r="O37" s="92">
        <f>IF($A37="",NA(),G37)</f>
        <v/>
      </c>
      <c r="P37" s="92">
        <f>IF($A37="",NA(),F37)</f>
        <v/>
      </c>
    </row>
    <row r="38">
      <c r="A38" s="31" t="n"/>
      <c r="B38" s="37" t="n"/>
      <c r="C38" s="37" t="n"/>
      <c r="D38" s="90">
        <f>IF(K38="","",D37+(A38-A37)/2*(COS(RADIANS(B37))+COS(RADIANS(B38)))*L38)</f>
        <v/>
      </c>
      <c r="E38" s="90">
        <f>IF(D38="","",F38*COS(RADIANS($B$3))+G38*SIN(RADIANS($B$3)))</f>
        <v/>
      </c>
      <c r="F38" s="90">
        <f>IF(K38="","",ROUND(F37+(A38-A37)/2*(SIN(RADIANS(B37))*COS(RADIANS(C37))+SIN(RADIANS(B38))*COS(RADIANS(C38)))*L38,4))</f>
        <v/>
      </c>
      <c r="G38" s="90">
        <f>IF(K38="","",ROUND(G37+(A38-A37)/2*(SIN(RADIANS(B37))*SIN(RADIANS(C37))+SIN(RADIANS(B38))*SIN(RADIANS(C38)))*L38,4))</f>
        <v/>
      </c>
      <c r="H38" s="91">
        <f>IF(K38="","",IF(A38=A37,0,K38*100/(A38-A37)))</f>
        <v/>
      </c>
      <c r="I38" s="92">
        <f>IF(A38="",9.9E+99,A38)</f>
        <v/>
      </c>
      <c r="J38" s="92">
        <f>IF(D38="",0,D38)</f>
        <v/>
      </c>
      <c r="K38" s="92">
        <f>IF(OR(A38="",A37=""),"",DEGREES(ACOS(MIN(1,MAX(-1,COS(RADIANS(B37))*COS(RADIANS(B38))+SIN(RADIANS(B37))*SIN(RADIANS(B38))*COS(RADIANS(C38-C37)))))))</f>
        <v/>
      </c>
      <c r="L38" s="92">
        <f>IF(K38="","",IF(K38=0,1,2/RADIANS(K38)*TAN(RADIANS(K38)/2)))</f>
        <v/>
      </c>
      <c r="M38" s="92">
        <f>IF($A38="",NA(),E38)</f>
        <v/>
      </c>
      <c r="N38" s="92">
        <f>IF($A38="",NA(),D38)</f>
        <v/>
      </c>
      <c r="O38" s="92">
        <f>IF($A38="",NA(),G38)</f>
        <v/>
      </c>
      <c r="P38" s="92">
        <f>IF($A38="",NA(),F38)</f>
        <v/>
      </c>
    </row>
    <row r="39">
      <c r="A39" s="31" t="n"/>
      <c r="B39" s="37" t="n"/>
      <c r="C39" s="37" t="n"/>
      <c r="D39" s="90">
        <f>IF(K39="","",D38+(A39-A38)/2*(COS(RADIANS(B38))+COS(RADIANS(B39)))*L39)</f>
        <v/>
      </c>
      <c r="E39" s="90">
        <f>IF(D39="","",F39*COS(RADIANS($B$3))+G39*SIN(RADIANS($B$3)))</f>
        <v/>
      </c>
      <c r="F39" s="90">
        <f>IF(K39="","",ROUND(F38+(A39-A38)/2*(SIN(RADIANS(B38))*COS(RADIANS(C38))+SIN(RADIANS(B39))*COS(RADIANS(C39)))*L39,4))</f>
        <v/>
      </c>
      <c r="G39" s="90">
        <f>IF(K39="","",ROUND(G38+(A39-A38)/2*(SIN(RADIANS(B38))*SIN(RADIANS(C38))+SIN(RADIANS(B39))*SIN(RADIANS(C39)))*L39,4))</f>
        <v/>
      </c>
      <c r="H39" s="91">
        <f>IF(K39="","",IF(A39=A38,0,K39*100/(A39-A38)))</f>
        <v/>
      </c>
      <c r="I39" s="92">
        <f>IF(A39="",9.9E+99,A39)</f>
        <v/>
      </c>
      <c r="J39" s="92">
        <f>IF(D39="",0,D39)</f>
        <v/>
      </c>
      <c r="K39" s="92">
        <f>IF(OR(A39="",A38=""),"",DEGREES(ACOS(MIN(1,MAX(-1,COS(RADIANS(B38))*COS(RADIANS(B39))+SIN(RADIANS(B38))*SIN(RADIANS(B39))*COS(RADIANS(C39-C38)))))))</f>
        <v/>
      </c>
      <c r="L39" s="92">
        <f>IF(K39="","",IF(K39=0,1,2/RADIANS(K39)*TAN(RADIANS(K39)/2)))</f>
        <v/>
      </c>
      <c r="M39" s="92">
        <f>IF($A39="",NA(),E39)</f>
        <v/>
      </c>
      <c r="N39" s="92">
        <f>IF($A39="",NA(),D39)</f>
        <v/>
      </c>
      <c r="O39" s="92">
        <f>IF($A39="",NA(),G39)</f>
        <v/>
      </c>
      <c r="P39" s="92">
        <f>IF($A39="",NA(),F39)</f>
        <v/>
      </c>
    </row>
    <row r="40">
      <c r="A40" s="31" t="n"/>
      <c r="B40" s="37" t="n"/>
      <c r="C40" s="37" t="n"/>
      <c r="D40" s="90">
        <f>IF(K40="","",D39+(A40-A39)/2*(COS(RADIANS(B39))+COS(RADIANS(B40)))*L40)</f>
        <v/>
      </c>
      <c r="E40" s="90">
        <f>IF(D40="","",F40*COS(RADIANS($B$3))+G40*SIN(RADIANS($B$3)))</f>
        <v/>
      </c>
      <c r="F40" s="90">
        <f>IF(K40="","",ROUND(F39+(A40-A39)/2*(SIN(RADIANS(B39))*COS(RADIANS(C39))+SIN(RADIANS(B40))*COS(RADIANS(C40)))*L40,4))</f>
        <v/>
      </c>
      <c r="G40" s="90">
        <f>IF(K40="","",ROUND(G39+(A40-A39)/2*(SIN(RADIANS(B39))*SIN(RADIANS(C39))+SIN(RADIANS(B40))*SIN(RADIANS(C40)))*L40,4))</f>
        <v/>
      </c>
      <c r="H40" s="91">
        <f>IF(K40="","",IF(A40=A39,0,K40*100/(A40-A39)))</f>
        <v/>
      </c>
      <c r="I40" s="92">
        <f>IF(A40="",9.9E+99,A40)</f>
        <v/>
      </c>
      <c r="J40" s="92">
        <f>IF(D40="",0,D40)</f>
        <v/>
      </c>
      <c r="K40" s="92">
        <f>IF(OR(A40="",A39=""),"",DEGREES(ACOS(MIN(1,MAX(-1,COS(RADIANS(B39))*COS(RADIANS(B40))+SIN(RADIANS(B39))*SIN(RADIANS(B40))*COS(RADIANS(C40-C39)))))))</f>
        <v/>
      </c>
      <c r="L40" s="92">
        <f>IF(K40="","",IF(K40=0,1,2/RADIANS(K40)*TAN(RADIANS(K40)/2)))</f>
        <v/>
      </c>
      <c r="M40" s="92">
        <f>IF($A40="",NA(),E40)</f>
        <v/>
      </c>
      <c r="N40" s="92">
        <f>IF($A40="",NA(),D40)</f>
        <v/>
      </c>
      <c r="O40" s="92">
        <f>IF($A40="",NA(),G40)</f>
        <v/>
      </c>
      <c r="P40" s="92">
        <f>IF($A40="",NA(),F40)</f>
        <v/>
      </c>
    </row>
    <row r="41">
      <c r="A41" s="31" t="n"/>
      <c r="B41" s="37" t="n"/>
      <c r="C41" s="37" t="n"/>
      <c r="D41" s="90">
        <f>IF(K41="","",D40+(A41-A40)/2*(COS(RADIANS(B40))+COS(RADIANS(B41)))*L41)</f>
        <v/>
      </c>
      <c r="E41" s="90">
        <f>IF(D41="","",F41*COS(RADIANS($B$3))+G41*SIN(RADIANS($B$3)))</f>
        <v/>
      </c>
      <c r="F41" s="90">
        <f>IF(K41="","",ROUND(F40+(A41-A40)/2*(SIN(RADIANS(B40))*COS(RADIANS(C40))+SIN(RADIANS(B41))*COS(RADIANS(C41)))*L41,4))</f>
        <v/>
      </c>
      <c r="G41" s="90">
        <f>IF(K41="","",ROUND(G40+(A41-A40)/2*(SIN(RADIANS(B40))*SIN(RADIANS(C40))+SIN(RADIANS(B41))*SIN(RADIANS(C41)))*L41,4))</f>
        <v/>
      </c>
      <c r="H41" s="91">
        <f>IF(K41="","",IF(A41=A40,0,K41*100/(A41-A40)))</f>
        <v/>
      </c>
      <c r="I41" s="92">
        <f>IF(A41="",9.9E+99,A41)</f>
        <v/>
      </c>
      <c r="J41" s="92">
        <f>IF(D41="",0,D41)</f>
        <v/>
      </c>
      <c r="K41" s="92">
        <f>IF(OR(A41="",A40=""),"",DEGREES(ACOS(MIN(1,MAX(-1,COS(RADIANS(B40))*COS(RADIANS(B41))+SIN(RADIANS(B40))*SIN(RADIANS(B41))*COS(RADIANS(C41-C40)))))))</f>
        <v/>
      </c>
      <c r="L41" s="92">
        <f>IF(K41="","",IF(K41=0,1,2/RADIANS(K41)*TAN(RADIANS(K41)/2)))</f>
        <v/>
      </c>
      <c r="M41" s="92">
        <f>IF($A41="",NA(),E41)</f>
        <v/>
      </c>
      <c r="N41" s="92">
        <f>IF($A41="",NA(),D41)</f>
        <v/>
      </c>
      <c r="O41" s="92">
        <f>IF($A41="",NA(),G41)</f>
        <v/>
      </c>
      <c r="P41" s="92">
        <f>IF($A41="",NA(),F41)</f>
        <v/>
      </c>
    </row>
    <row r="42">
      <c r="A42" s="31" t="n"/>
      <c r="B42" s="37" t="n"/>
      <c r="C42" s="37" t="n"/>
      <c r="D42" s="90">
        <f>IF(K42="","",D41+(A42-A41)/2*(COS(RADIANS(B41))+COS(RADIANS(B42)))*L42)</f>
        <v/>
      </c>
      <c r="E42" s="90">
        <f>IF(D42="","",F42*COS(RADIANS($B$3))+G42*SIN(RADIANS($B$3)))</f>
        <v/>
      </c>
      <c r="F42" s="90">
        <f>IF(K42="","",ROUND(F41+(A42-A41)/2*(SIN(RADIANS(B41))*COS(RADIANS(C41))+SIN(RADIANS(B42))*COS(RADIANS(C42)))*L42,4))</f>
        <v/>
      </c>
      <c r="G42" s="90">
        <f>IF(K42="","",ROUND(G41+(A42-A41)/2*(SIN(RADIANS(B41))*SIN(RADIANS(C41))+SIN(RADIANS(B42))*SIN(RADIANS(C42)))*L42,4))</f>
        <v/>
      </c>
      <c r="H42" s="91">
        <f>IF(K42="","",IF(A42=A41,0,K42*100/(A42-A41)))</f>
        <v/>
      </c>
      <c r="I42" s="92">
        <f>IF(A42="",9.9E+99,A42)</f>
        <v/>
      </c>
      <c r="J42" s="92">
        <f>IF(D42="",0,D42)</f>
        <v/>
      </c>
      <c r="K42" s="92">
        <f>IF(OR(A42="",A41=""),"",DEGREES(ACOS(MIN(1,MAX(-1,COS(RADIANS(B41))*COS(RADIANS(B42))+SIN(RADIANS(B41))*SIN(RADIANS(B42))*COS(RADIANS(C42-C41)))))))</f>
        <v/>
      </c>
      <c r="L42" s="92">
        <f>IF(K42="","",IF(K42=0,1,2/RADIANS(K42)*TAN(RADIANS(K42)/2)))</f>
        <v/>
      </c>
      <c r="M42" s="92">
        <f>IF($A42="",NA(),E42)</f>
        <v/>
      </c>
      <c r="N42" s="92">
        <f>IF($A42="",NA(),D42)</f>
        <v/>
      </c>
      <c r="O42" s="92">
        <f>IF($A42="",NA(),G42)</f>
        <v/>
      </c>
      <c r="P42" s="92">
        <f>IF($A42="",NA(),F42)</f>
        <v/>
      </c>
    </row>
    <row r="43">
      <c r="A43" s="31" t="n"/>
      <c r="B43" s="37" t="n"/>
      <c r="C43" s="37" t="n"/>
      <c r="D43" s="90">
        <f>IF(K43="","",D42+(A43-A42)/2*(COS(RADIANS(B42))+COS(RADIANS(B43)))*L43)</f>
        <v/>
      </c>
      <c r="E43" s="90">
        <f>IF(D43="","",F43*COS(RADIANS($B$3))+G43*SIN(RADIANS($B$3)))</f>
        <v/>
      </c>
      <c r="F43" s="90">
        <f>IF(K43="","",ROUND(F42+(A43-A42)/2*(SIN(RADIANS(B42))*COS(RADIANS(C42))+SIN(RADIANS(B43))*COS(RADIANS(C43)))*L43,4))</f>
        <v/>
      </c>
      <c r="G43" s="90">
        <f>IF(K43="","",ROUND(G42+(A43-A42)/2*(SIN(RADIANS(B42))*SIN(RADIANS(C42))+SIN(RADIANS(B43))*SIN(RADIANS(C43)))*L43,4))</f>
        <v/>
      </c>
      <c r="H43" s="91">
        <f>IF(K43="","",IF(A43=A42,0,K43*100/(A43-A42)))</f>
        <v/>
      </c>
      <c r="I43" s="92">
        <f>IF(A43="",9.9E+99,A43)</f>
        <v/>
      </c>
      <c r="J43" s="92">
        <f>IF(D43="",0,D43)</f>
        <v/>
      </c>
      <c r="K43" s="92">
        <f>IF(OR(A43="",A42=""),"",DEGREES(ACOS(MIN(1,MAX(-1,COS(RADIANS(B42))*COS(RADIANS(B43))+SIN(RADIANS(B42))*SIN(RADIANS(B43))*COS(RADIANS(C43-C42)))))))</f>
        <v/>
      </c>
      <c r="L43" s="92">
        <f>IF(K43="","",IF(K43=0,1,2/RADIANS(K43)*TAN(RADIANS(K43)/2)))</f>
        <v/>
      </c>
      <c r="M43" s="92">
        <f>IF($A43="",NA(),E43)</f>
        <v/>
      </c>
      <c r="N43" s="92">
        <f>IF($A43="",NA(),D43)</f>
        <v/>
      </c>
      <c r="O43" s="92">
        <f>IF($A43="",NA(),G43)</f>
        <v/>
      </c>
      <c r="P43" s="92">
        <f>IF($A43="",NA(),F43)</f>
        <v/>
      </c>
    </row>
    <row r="44">
      <c r="A44" s="31" t="n"/>
      <c r="B44" s="37" t="n"/>
      <c r="C44" s="37" t="n"/>
      <c r="D44" s="90">
        <f>IF(K44="","",D43+(A44-A43)/2*(COS(RADIANS(B43))+COS(RADIANS(B44)))*L44)</f>
        <v/>
      </c>
      <c r="E44" s="90">
        <f>IF(D44="","",F44*COS(RADIANS($B$3))+G44*SIN(RADIANS($B$3)))</f>
        <v/>
      </c>
      <c r="F44" s="90">
        <f>IF(K44="","",ROUND(F43+(A44-A43)/2*(SIN(RADIANS(B43))*COS(RADIANS(C43))+SIN(RADIANS(B44))*COS(RADIANS(C44)))*L44,4))</f>
        <v/>
      </c>
      <c r="G44" s="90">
        <f>IF(K44="","",ROUND(G43+(A44-A43)/2*(SIN(RADIANS(B43))*SIN(RADIANS(C43))+SIN(RADIANS(B44))*SIN(RADIANS(C44)))*L44,4))</f>
        <v/>
      </c>
      <c r="H44" s="91">
        <f>IF(K44="","",IF(A44=A43,0,K44*100/(A44-A43)))</f>
        <v/>
      </c>
      <c r="I44" s="92">
        <f>IF(A44="",9.9E+99,A44)</f>
        <v/>
      </c>
      <c r="J44" s="92">
        <f>IF(D44="",0,D44)</f>
        <v/>
      </c>
      <c r="K44" s="92">
        <f>IF(OR(A44="",A43=""),"",DEGREES(ACOS(MIN(1,MAX(-1,COS(RADIANS(B43))*COS(RADIANS(B44))+SIN(RADIANS(B43))*SIN(RADIANS(B44))*COS(RADIANS(C44-C43)))))))</f>
        <v/>
      </c>
      <c r="L44" s="92">
        <f>IF(K44="","",IF(K44=0,1,2/RADIANS(K44)*TAN(RADIANS(K44)/2)))</f>
        <v/>
      </c>
      <c r="M44" s="92">
        <f>IF($A44="",NA(),E44)</f>
        <v/>
      </c>
      <c r="N44" s="92">
        <f>IF($A44="",NA(),D44)</f>
        <v/>
      </c>
      <c r="O44" s="92">
        <f>IF($A44="",NA(),G44)</f>
        <v/>
      </c>
      <c r="P44" s="92">
        <f>IF($A44="",NA(),F44)</f>
        <v/>
      </c>
    </row>
    <row r="45">
      <c r="A45" s="31" t="n"/>
      <c r="B45" s="37" t="n"/>
      <c r="C45" s="37" t="n"/>
      <c r="D45" s="90">
        <f>IF(K45="","",D44+(A45-A44)/2*(COS(RADIANS(B44))+COS(RADIANS(B45)))*L45)</f>
        <v/>
      </c>
      <c r="E45" s="90">
        <f>IF(D45="","",F45*COS(RADIANS($B$3))+G45*SIN(RADIANS($B$3)))</f>
        <v/>
      </c>
      <c r="F45" s="90">
        <f>IF(K45="","",ROUND(F44+(A45-A44)/2*(SIN(RADIANS(B44))*COS(RADIANS(C44))+SIN(RADIANS(B45))*COS(RADIANS(C45)))*L45,4))</f>
        <v/>
      </c>
      <c r="G45" s="90">
        <f>IF(K45="","",ROUND(G44+(A45-A44)/2*(SIN(RADIANS(B44))*SIN(RADIANS(C44))+SIN(RADIANS(B45))*SIN(RADIANS(C45)))*L45,4))</f>
        <v/>
      </c>
      <c r="H45" s="91">
        <f>IF(K45="","",IF(A45=A44,0,K45*100/(A45-A44)))</f>
        <v/>
      </c>
      <c r="I45" s="92">
        <f>IF(A45="",9.9E+99,A45)</f>
        <v/>
      </c>
      <c r="J45" s="92">
        <f>IF(D45="",0,D45)</f>
        <v/>
      </c>
      <c r="K45" s="92">
        <f>IF(OR(A45="",A44=""),"",DEGREES(ACOS(MIN(1,MAX(-1,COS(RADIANS(B44))*COS(RADIANS(B45))+SIN(RADIANS(B44))*SIN(RADIANS(B45))*COS(RADIANS(C45-C44)))))))</f>
        <v/>
      </c>
      <c r="L45" s="92">
        <f>IF(K45="","",IF(K45=0,1,2/RADIANS(K45)*TAN(RADIANS(K45)/2)))</f>
        <v/>
      </c>
      <c r="M45" s="92">
        <f>IF($A45="",NA(),E45)</f>
        <v/>
      </c>
      <c r="N45" s="92">
        <f>IF($A45="",NA(),D45)</f>
        <v/>
      </c>
      <c r="O45" s="92">
        <f>IF($A45="",NA(),G45)</f>
        <v/>
      </c>
      <c r="P45" s="92">
        <f>IF($A45="",NA(),F45)</f>
        <v/>
      </c>
    </row>
    <row r="46">
      <c r="A46" s="31" t="n"/>
      <c r="B46" s="37" t="n"/>
      <c r="C46" s="37" t="n"/>
      <c r="D46" s="90">
        <f>IF(K46="","",D45+(A46-A45)/2*(COS(RADIANS(B45))+COS(RADIANS(B46)))*L46)</f>
        <v/>
      </c>
      <c r="E46" s="90">
        <f>IF(D46="","",F46*COS(RADIANS($B$3))+G46*SIN(RADIANS($B$3)))</f>
        <v/>
      </c>
      <c r="F46" s="90">
        <f>IF(K46="","",ROUND(F45+(A46-A45)/2*(SIN(RADIANS(B45))*COS(RADIANS(C45))+SIN(RADIANS(B46))*COS(RADIANS(C46)))*L46,4))</f>
        <v/>
      </c>
      <c r="G46" s="90">
        <f>IF(K46="","",ROUND(G45+(A46-A45)/2*(SIN(RADIANS(B45))*SIN(RADIANS(C45))+SIN(RADIANS(B46))*SIN(RADIANS(C46)))*L46,4))</f>
        <v/>
      </c>
      <c r="H46" s="91">
        <f>IF(K46="","",IF(A46=A45,0,K46*100/(A46-A45)))</f>
        <v/>
      </c>
      <c r="I46" s="92">
        <f>IF(A46="",9.9E+99,A46)</f>
        <v/>
      </c>
      <c r="J46" s="92">
        <f>IF(D46="",0,D46)</f>
        <v/>
      </c>
      <c r="K46" s="92">
        <f>IF(OR(A46="",A45=""),"",DEGREES(ACOS(MIN(1,MAX(-1,COS(RADIANS(B45))*COS(RADIANS(B46))+SIN(RADIANS(B45))*SIN(RADIANS(B46))*COS(RADIANS(C46-C45)))))))</f>
        <v/>
      </c>
      <c r="L46" s="92">
        <f>IF(K46="","",IF(K46=0,1,2/RADIANS(K46)*TAN(RADIANS(K46)/2)))</f>
        <v/>
      </c>
      <c r="M46" s="92">
        <f>IF($A46="",NA(),E46)</f>
        <v/>
      </c>
      <c r="N46" s="92">
        <f>IF($A46="",NA(),D46)</f>
        <v/>
      </c>
      <c r="O46" s="92">
        <f>IF($A46="",NA(),G46)</f>
        <v/>
      </c>
      <c r="P46" s="92">
        <f>IF($A46="",NA(),F46)</f>
        <v/>
      </c>
    </row>
    <row r="47">
      <c r="A47" s="31" t="n"/>
      <c r="B47" s="37" t="n"/>
      <c r="C47" s="37" t="n"/>
      <c r="D47" s="90">
        <f>IF(K47="","",D46+(A47-A46)/2*(COS(RADIANS(B46))+COS(RADIANS(B47)))*L47)</f>
        <v/>
      </c>
      <c r="E47" s="90">
        <f>IF(D47="","",F47*COS(RADIANS($B$3))+G47*SIN(RADIANS($B$3)))</f>
        <v/>
      </c>
      <c r="F47" s="90">
        <f>IF(K47="","",ROUND(F46+(A47-A46)/2*(SIN(RADIANS(B46))*COS(RADIANS(C46))+SIN(RADIANS(B47))*COS(RADIANS(C47)))*L47,4))</f>
        <v/>
      </c>
      <c r="G47" s="90">
        <f>IF(K47="","",ROUND(G46+(A47-A46)/2*(SIN(RADIANS(B46))*SIN(RADIANS(C46))+SIN(RADIANS(B47))*SIN(RADIANS(C47)))*L47,4))</f>
        <v/>
      </c>
      <c r="H47" s="91">
        <f>IF(K47="","",IF(A47=A46,0,K47*100/(A47-A46)))</f>
        <v/>
      </c>
      <c r="I47" s="92">
        <f>IF(A47="",9.9E+99,A47)</f>
        <v/>
      </c>
      <c r="J47" s="92">
        <f>IF(D47="",0,D47)</f>
        <v/>
      </c>
      <c r="K47" s="92">
        <f>IF(OR(A47="",A46=""),"",DEGREES(ACOS(MIN(1,MAX(-1,COS(RADIANS(B46))*COS(RADIANS(B47))+SIN(RADIANS(B46))*SIN(RADIANS(B47))*COS(RADIANS(C47-C46)))))))</f>
        <v/>
      </c>
      <c r="L47" s="92">
        <f>IF(K47="","",IF(K47=0,1,2/RADIANS(K47)*TAN(RADIANS(K47)/2)))</f>
        <v/>
      </c>
      <c r="M47" s="92">
        <f>IF($A47="",NA(),E47)</f>
        <v/>
      </c>
      <c r="N47" s="92">
        <f>IF($A47="",NA(),D47)</f>
        <v/>
      </c>
      <c r="O47" s="92">
        <f>IF($A47="",NA(),G47)</f>
        <v/>
      </c>
      <c r="P47" s="92">
        <f>IF($A47="",NA(),F47)</f>
        <v/>
      </c>
    </row>
    <row r="48">
      <c r="A48" s="31" t="n"/>
      <c r="B48" s="37" t="n"/>
      <c r="C48" s="37" t="n"/>
      <c r="D48" s="90">
        <f>IF(K48="","",D47+(A48-A47)/2*(COS(RADIANS(B47))+COS(RADIANS(B48)))*L48)</f>
        <v/>
      </c>
      <c r="E48" s="90">
        <f>IF(D48="","",F48*COS(RADIANS($B$3))+G48*SIN(RADIANS($B$3)))</f>
        <v/>
      </c>
      <c r="F48" s="90">
        <f>IF(K48="","",ROUND(F47+(A48-A47)/2*(SIN(RADIANS(B47))*COS(RADIANS(C47))+SIN(RADIANS(B48))*COS(RADIANS(C48)))*L48,4))</f>
        <v/>
      </c>
      <c r="G48" s="90">
        <f>IF(K48="","",ROUND(G47+(A48-A47)/2*(SIN(RADIANS(B47))*SIN(RADIANS(C47))+SIN(RADIANS(B48))*SIN(RADIANS(C48)))*L48,4))</f>
        <v/>
      </c>
      <c r="H48" s="91">
        <f>IF(K48="","",IF(A48=A47,0,K48*100/(A48-A47)))</f>
        <v/>
      </c>
      <c r="I48" s="92">
        <f>IF(A48="",9.9E+99,A48)</f>
        <v/>
      </c>
      <c r="J48" s="92">
        <f>IF(D48="",0,D48)</f>
        <v/>
      </c>
      <c r="K48" s="92">
        <f>IF(OR(A48="",A47=""),"",DEGREES(ACOS(MIN(1,MAX(-1,COS(RADIANS(B47))*COS(RADIANS(B48))+SIN(RADIANS(B47))*SIN(RADIANS(B48))*COS(RADIANS(C48-C47)))))))</f>
        <v/>
      </c>
      <c r="L48" s="92">
        <f>IF(K48="","",IF(K48=0,1,2/RADIANS(K48)*TAN(RADIANS(K48)/2)))</f>
        <v/>
      </c>
      <c r="M48" s="92">
        <f>IF($A48="",NA(),E48)</f>
        <v/>
      </c>
      <c r="N48" s="92">
        <f>IF($A48="",NA(),D48)</f>
        <v/>
      </c>
      <c r="O48" s="92">
        <f>IF($A48="",NA(),G48)</f>
        <v/>
      </c>
      <c r="P48" s="92">
        <f>IF($A48="",NA(),F48)</f>
        <v/>
      </c>
    </row>
    <row r="49">
      <c r="A49" s="31" t="n"/>
      <c r="B49" s="37" t="n"/>
      <c r="C49" s="37" t="n"/>
      <c r="D49" s="90">
        <f>IF(K49="","",D48+(A49-A48)/2*(COS(RADIANS(B48))+COS(RADIANS(B49)))*L49)</f>
        <v/>
      </c>
      <c r="E49" s="90">
        <f>IF(D49="","",F49*COS(RADIANS($B$3))+G49*SIN(RADIANS($B$3)))</f>
        <v/>
      </c>
      <c r="F49" s="90">
        <f>IF(K49="","",ROUND(F48+(A49-A48)/2*(SIN(RADIANS(B48))*COS(RADIANS(C48))+SIN(RADIANS(B49))*COS(RADIANS(C49)))*L49,4))</f>
        <v/>
      </c>
      <c r="G49" s="90">
        <f>IF(K49="","",ROUND(G48+(A49-A48)/2*(SIN(RADIANS(B48))*SIN(RADIANS(C48))+SIN(RADIANS(B49))*SIN(RADIANS(C49)))*L49,4))</f>
        <v/>
      </c>
      <c r="H49" s="91">
        <f>IF(K49="","",IF(A49=A48,0,K49*100/(A49-A48)))</f>
        <v/>
      </c>
      <c r="I49" s="92">
        <f>IF(A49="",9.9E+99,A49)</f>
        <v/>
      </c>
      <c r="J49" s="92">
        <f>IF(D49="",0,D49)</f>
        <v/>
      </c>
      <c r="K49" s="92">
        <f>IF(OR(A49="",A48=""),"",DEGREES(ACOS(MIN(1,MAX(-1,COS(RADIANS(B48))*COS(RADIANS(B49))+SIN(RADIANS(B48))*SIN(RADIANS(B49))*COS(RADIANS(C49-C48)))))))</f>
        <v/>
      </c>
      <c r="L49" s="92">
        <f>IF(K49="","",IF(K49=0,1,2/RADIANS(K49)*TAN(RADIANS(K49)/2)))</f>
        <v/>
      </c>
      <c r="M49" s="92">
        <f>IF($A49="",NA(),E49)</f>
        <v/>
      </c>
      <c r="N49" s="92">
        <f>IF($A49="",NA(),D49)</f>
        <v/>
      </c>
      <c r="O49" s="92">
        <f>IF($A49="",NA(),G49)</f>
        <v/>
      </c>
      <c r="P49" s="92">
        <f>IF($A49="",NA(),F49)</f>
        <v/>
      </c>
    </row>
    <row r="50">
      <c r="A50" s="31" t="n"/>
      <c r="B50" s="37" t="n"/>
      <c r="C50" s="37" t="n"/>
      <c r="D50" s="90">
        <f>IF(K50="","",D49+(A50-A49)/2*(COS(RADIANS(B49))+COS(RADIANS(B50)))*L50)</f>
        <v/>
      </c>
      <c r="E50" s="90">
        <f>IF(D50="","",F50*COS(RADIANS($B$3))+G50*SIN(RADIANS($B$3)))</f>
        <v/>
      </c>
      <c r="F50" s="90">
        <f>IF(K50="","",ROUND(F49+(A50-A49)/2*(SIN(RADIANS(B49))*COS(RADIANS(C49))+SIN(RADIANS(B50))*COS(RADIANS(C50)))*L50,4))</f>
        <v/>
      </c>
      <c r="G50" s="90">
        <f>IF(K50="","",ROUND(G49+(A50-A49)/2*(SIN(RADIANS(B49))*SIN(RADIANS(C49))+SIN(RADIANS(B50))*SIN(RADIANS(C50)))*L50,4))</f>
        <v/>
      </c>
      <c r="H50" s="91">
        <f>IF(K50="","",IF(A50=A49,0,K50*100/(A50-A49)))</f>
        <v/>
      </c>
      <c r="I50" s="92">
        <f>IF(A50="",9.9E+99,A50)</f>
        <v/>
      </c>
      <c r="J50" s="92">
        <f>IF(D50="",0,D50)</f>
        <v/>
      </c>
      <c r="K50" s="92">
        <f>IF(OR(A50="",A49=""),"",DEGREES(ACOS(MIN(1,MAX(-1,COS(RADIANS(B49))*COS(RADIANS(B50))+SIN(RADIANS(B49))*SIN(RADIANS(B50))*COS(RADIANS(C50-C49)))))))</f>
        <v/>
      </c>
      <c r="L50" s="92">
        <f>IF(K50="","",IF(K50=0,1,2/RADIANS(K50)*TAN(RADIANS(K50)/2)))</f>
        <v/>
      </c>
      <c r="M50" s="92">
        <f>IF($A50="",NA(),E50)</f>
        <v/>
      </c>
      <c r="N50" s="92">
        <f>IF($A50="",NA(),D50)</f>
        <v/>
      </c>
      <c r="O50" s="92">
        <f>IF($A50="",NA(),G50)</f>
        <v/>
      </c>
      <c r="P50" s="92">
        <f>IF($A50="",NA(),F50)</f>
        <v/>
      </c>
    </row>
    <row r="51">
      <c r="A51" s="31" t="n"/>
      <c r="B51" s="37" t="n"/>
      <c r="C51" s="37" t="n"/>
      <c r="D51" s="90">
        <f>IF(K51="","",D50+(A51-A50)/2*(COS(RADIANS(B50))+COS(RADIANS(B51)))*L51)</f>
        <v/>
      </c>
      <c r="E51" s="90">
        <f>IF(D51="","",F51*COS(RADIANS($B$3))+G51*SIN(RADIANS($B$3)))</f>
        <v/>
      </c>
      <c r="F51" s="90">
        <f>IF(K51="","",ROUND(F50+(A51-A50)/2*(SIN(RADIANS(B50))*COS(RADIANS(C50))+SIN(RADIANS(B51))*COS(RADIANS(C51)))*L51,4))</f>
        <v/>
      </c>
      <c r="G51" s="90">
        <f>IF(K51="","",ROUND(G50+(A51-A50)/2*(SIN(RADIANS(B50))*SIN(RADIANS(C50))+SIN(RADIANS(B51))*SIN(RADIANS(C51)))*L51,4))</f>
        <v/>
      </c>
      <c r="H51" s="91">
        <f>IF(K51="","",IF(A51=A50,0,K51*100/(A51-A50)))</f>
        <v/>
      </c>
      <c r="I51" s="92">
        <f>IF(A51="",9.9E+99,A51)</f>
        <v/>
      </c>
      <c r="J51" s="92">
        <f>IF(D51="",0,D51)</f>
        <v/>
      </c>
      <c r="K51" s="92">
        <f>IF(OR(A51="",A50=""),"",DEGREES(ACOS(MIN(1,MAX(-1,COS(RADIANS(B50))*COS(RADIANS(B51))+SIN(RADIANS(B50))*SIN(RADIANS(B51))*COS(RADIANS(C51-C50)))))))</f>
        <v/>
      </c>
      <c r="L51" s="92">
        <f>IF(K51="","",IF(K51=0,1,2/RADIANS(K51)*TAN(RADIANS(K51)/2)))</f>
        <v/>
      </c>
      <c r="M51" s="92">
        <f>IF($A51="",NA(),E51)</f>
        <v/>
      </c>
      <c r="N51" s="92">
        <f>IF($A51="",NA(),D51)</f>
        <v/>
      </c>
      <c r="O51" s="92">
        <f>IF($A51="",NA(),G51)</f>
        <v/>
      </c>
      <c r="P51" s="92">
        <f>IF($A51="",NA(),F51)</f>
        <v/>
      </c>
    </row>
    <row r="52">
      <c r="A52" s="31" t="n"/>
      <c r="B52" s="37" t="n"/>
      <c r="C52" s="37" t="n"/>
      <c r="D52" s="90">
        <f>IF(K52="","",D51+(A52-A51)/2*(COS(RADIANS(B51))+COS(RADIANS(B52)))*L52)</f>
        <v/>
      </c>
      <c r="E52" s="90">
        <f>IF(D52="","",F52*COS(RADIANS($B$3))+G52*SIN(RADIANS($B$3)))</f>
        <v/>
      </c>
      <c r="F52" s="90">
        <f>IF(K52="","",ROUND(F51+(A52-A51)/2*(SIN(RADIANS(B51))*COS(RADIANS(C51))+SIN(RADIANS(B52))*COS(RADIANS(C52)))*L52,4))</f>
        <v/>
      </c>
      <c r="G52" s="90">
        <f>IF(K52="","",ROUND(G51+(A52-A51)/2*(SIN(RADIANS(B51))*SIN(RADIANS(C51))+SIN(RADIANS(B52))*SIN(RADIANS(C52)))*L52,4))</f>
        <v/>
      </c>
      <c r="H52" s="91">
        <f>IF(K52="","",IF(A52=A51,0,K52*100/(A52-A51)))</f>
        <v/>
      </c>
      <c r="I52" s="92">
        <f>IF(A52="",9.9E+99,A52)</f>
        <v/>
      </c>
      <c r="J52" s="92">
        <f>IF(D52="",0,D52)</f>
        <v/>
      </c>
      <c r="K52" s="92">
        <f>IF(OR(A52="",A51=""),"",DEGREES(ACOS(MIN(1,MAX(-1,COS(RADIANS(B51))*COS(RADIANS(B52))+SIN(RADIANS(B51))*SIN(RADIANS(B52))*COS(RADIANS(C52-C51)))))))</f>
        <v/>
      </c>
      <c r="L52" s="92">
        <f>IF(K52="","",IF(K52=0,1,2/RADIANS(K52)*TAN(RADIANS(K52)/2)))</f>
        <v/>
      </c>
      <c r="M52" s="92">
        <f>IF($A52="",NA(),E52)</f>
        <v/>
      </c>
      <c r="N52" s="92">
        <f>IF($A52="",NA(),D52)</f>
        <v/>
      </c>
      <c r="O52" s="92">
        <f>IF($A52="",NA(),G52)</f>
        <v/>
      </c>
      <c r="P52" s="92">
        <f>IF($A52="",NA(),F52)</f>
        <v/>
      </c>
    </row>
    <row r="53">
      <c r="A53" s="31" t="n"/>
      <c r="B53" s="37" t="n"/>
      <c r="C53" s="37" t="n"/>
      <c r="D53" s="90">
        <f>IF(K53="","",D52+(A53-A52)/2*(COS(RADIANS(B52))+COS(RADIANS(B53)))*L53)</f>
        <v/>
      </c>
      <c r="E53" s="90">
        <f>IF(D53="","",F53*COS(RADIANS($B$3))+G53*SIN(RADIANS($B$3)))</f>
        <v/>
      </c>
      <c r="F53" s="90">
        <f>IF(K53="","",ROUND(F52+(A53-A52)/2*(SIN(RADIANS(B52))*COS(RADIANS(C52))+SIN(RADIANS(B53))*COS(RADIANS(C53)))*L53,4))</f>
        <v/>
      </c>
      <c r="G53" s="90">
        <f>IF(K53="","",ROUND(G52+(A53-A52)/2*(SIN(RADIANS(B52))*SIN(RADIANS(C52))+SIN(RADIANS(B53))*SIN(RADIANS(C53)))*L53,4))</f>
        <v/>
      </c>
      <c r="H53" s="91">
        <f>IF(K53="","",IF(A53=A52,0,K53*100/(A53-A52)))</f>
        <v/>
      </c>
      <c r="I53" s="92">
        <f>IF(A53="",9.9E+99,A53)</f>
        <v/>
      </c>
      <c r="J53" s="92">
        <f>IF(D53="",0,D53)</f>
        <v/>
      </c>
      <c r="K53" s="92">
        <f>IF(OR(A53="",A52=""),"",DEGREES(ACOS(MIN(1,MAX(-1,COS(RADIANS(B52))*COS(RADIANS(B53))+SIN(RADIANS(B52))*SIN(RADIANS(B53))*COS(RADIANS(C53-C52)))))))</f>
        <v/>
      </c>
      <c r="L53" s="92">
        <f>IF(K53="","",IF(K53=0,1,2/RADIANS(K53)*TAN(RADIANS(K53)/2)))</f>
        <v/>
      </c>
      <c r="M53" s="92">
        <f>IF($A53="",NA(),E53)</f>
        <v/>
      </c>
      <c r="N53" s="92">
        <f>IF($A53="",NA(),D53)</f>
        <v/>
      </c>
      <c r="O53" s="92">
        <f>IF($A53="",NA(),G53)</f>
        <v/>
      </c>
      <c r="P53" s="92">
        <f>IF($A53="",NA(),F53)</f>
        <v/>
      </c>
    </row>
    <row r="54">
      <c r="A54" s="31" t="n"/>
      <c r="B54" s="37" t="n"/>
      <c r="C54" s="37" t="n"/>
      <c r="D54" s="90">
        <f>IF(K54="","",D53+(A54-A53)/2*(COS(RADIANS(B53))+COS(RADIANS(B54)))*L54)</f>
        <v/>
      </c>
      <c r="E54" s="90">
        <f>IF(D54="","",F54*COS(RADIANS($B$3))+G54*SIN(RADIANS($B$3)))</f>
        <v/>
      </c>
      <c r="F54" s="90">
        <f>IF(K54="","",ROUND(F53+(A54-A53)/2*(SIN(RADIANS(B53))*COS(RADIANS(C53))+SIN(RADIANS(B54))*COS(RADIANS(C54)))*L54,4))</f>
        <v/>
      </c>
      <c r="G54" s="90">
        <f>IF(K54="","",ROUND(G53+(A54-A53)/2*(SIN(RADIANS(B53))*SIN(RADIANS(C53))+SIN(RADIANS(B54))*SIN(RADIANS(C54)))*L54,4))</f>
        <v/>
      </c>
      <c r="H54" s="91">
        <f>IF(K54="","",IF(A54=A53,0,K54*100/(A54-A53)))</f>
        <v/>
      </c>
      <c r="I54" s="92">
        <f>IF(A54="",9.9E+99,A54)</f>
        <v/>
      </c>
      <c r="J54" s="92">
        <f>IF(D54="",0,D54)</f>
        <v/>
      </c>
      <c r="K54" s="92">
        <f>IF(OR(A54="",A53=""),"",DEGREES(ACOS(MIN(1,MAX(-1,COS(RADIANS(B53))*COS(RADIANS(B54))+SIN(RADIANS(B53))*SIN(RADIANS(B54))*COS(RADIANS(C54-C53)))))))</f>
        <v/>
      </c>
      <c r="L54" s="92">
        <f>IF(K54="","",IF(K54=0,1,2/RADIANS(K54)*TAN(RADIANS(K54)/2)))</f>
        <v/>
      </c>
      <c r="M54" s="92">
        <f>IF($A54="",NA(),E54)</f>
        <v/>
      </c>
      <c r="N54" s="92">
        <f>IF($A54="",NA(),D54)</f>
        <v/>
      </c>
      <c r="O54" s="92">
        <f>IF($A54="",NA(),G54)</f>
        <v/>
      </c>
      <c r="P54" s="92">
        <f>IF($A54="",NA(),F54)</f>
        <v/>
      </c>
    </row>
    <row r="55">
      <c r="A55" s="31" t="n"/>
      <c r="B55" s="37" t="n"/>
      <c r="C55" s="37" t="n"/>
      <c r="D55" s="90">
        <f>IF(K55="","",D54+(A55-A54)/2*(COS(RADIANS(B54))+COS(RADIANS(B55)))*L55)</f>
        <v/>
      </c>
      <c r="E55" s="90">
        <f>IF(D55="","",F55*COS(RADIANS($B$3))+G55*SIN(RADIANS($B$3)))</f>
        <v/>
      </c>
      <c r="F55" s="90">
        <f>IF(K55="","",ROUND(F54+(A55-A54)/2*(SIN(RADIANS(B54))*COS(RADIANS(C54))+SIN(RADIANS(B55))*COS(RADIANS(C55)))*L55,4))</f>
        <v/>
      </c>
      <c r="G55" s="90">
        <f>IF(K55="","",ROUND(G54+(A55-A54)/2*(SIN(RADIANS(B54))*SIN(RADIANS(C54))+SIN(RADIANS(B55))*SIN(RADIANS(C55)))*L55,4))</f>
        <v/>
      </c>
      <c r="H55" s="91">
        <f>IF(K55="","",IF(A55=A54,0,K55*100/(A55-A54)))</f>
        <v/>
      </c>
      <c r="I55" s="92">
        <f>IF(A55="",9.9E+99,A55)</f>
        <v/>
      </c>
      <c r="J55" s="92">
        <f>IF(D55="",0,D55)</f>
        <v/>
      </c>
      <c r="K55" s="92">
        <f>IF(OR(A55="",A54=""),"",DEGREES(ACOS(MIN(1,MAX(-1,COS(RADIANS(B54))*COS(RADIANS(B55))+SIN(RADIANS(B54))*SIN(RADIANS(B55))*COS(RADIANS(C55-C54)))))))</f>
        <v/>
      </c>
      <c r="L55" s="92">
        <f>IF(K55="","",IF(K55=0,1,2/RADIANS(K55)*TAN(RADIANS(K55)/2)))</f>
        <v/>
      </c>
      <c r="M55" s="92">
        <f>IF($A55="",NA(),E55)</f>
        <v/>
      </c>
      <c r="N55" s="92">
        <f>IF($A55="",NA(),D55)</f>
        <v/>
      </c>
      <c r="O55" s="92">
        <f>IF($A55="",NA(),G55)</f>
        <v/>
      </c>
      <c r="P55" s="92">
        <f>IF($A55="",NA(),F55)</f>
        <v/>
      </c>
    </row>
    <row r="56">
      <c r="A56" s="31" t="n"/>
      <c r="B56" s="37" t="n"/>
      <c r="C56" s="37" t="n"/>
      <c r="D56" s="90">
        <f>IF(K56="","",D55+(A56-A55)/2*(COS(RADIANS(B55))+COS(RADIANS(B56)))*L56)</f>
        <v/>
      </c>
      <c r="E56" s="90">
        <f>IF(D56="","",F56*COS(RADIANS($B$3))+G56*SIN(RADIANS($B$3)))</f>
        <v/>
      </c>
      <c r="F56" s="90">
        <f>IF(K56="","",ROUND(F55+(A56-A55)/2*(SIN(RADIANS(B55))*COS(RADIANS(C55))+SIN(RADIANS(B56))*COS(RADIANS(C56)))*L56,4))</f>
        <v/>
      </c>
      <c r="G56" s="90">
        <f>IF(K56="","",ROUND(G55+(A56-A55)/2*(SIN(RADIANS(B55))*SIN(RADIANS(C55))+SIN(RADIANS(B56))*SIN(RADIANS(C56)))*L56,4))</f>
        <v/>
      </c>
      <c r="H56" s="91">
        <f>IF(K56="","",IF(A56=A55,0,K56*100/(A56-A55)))</f>
        <v/>
      </c>
      <c r="I56" s="92">
        <f>IF(A56="",9.9E+99,A56)</f>
        <v/>
      </c>
      <c r="J56" s="92">
        <f>IF(D56="",0,D56)</f>
        <v/>
      </c>
      <c r="K56" s="92">
        <f>IF(OR(A56="",A55=""),"",DEGREES(ACOS(MIN(1,MAX(-1,COS(RADIANS(B55))*COS(RADIANS(B56))+SIN(RADIANS(B55))*SIN(RADIANS(B56))*COS(RADIANS(C56-C55)))))))</f>
        <v/>
      </c>
      <c r="L56" s="92">
        <f>IF(K56="","",IF(K56=0,1,2/RADIANS(K56)*TAN(RADIANS(K56)/2)))</f>
        <v/>
      </c>
      <c r="M56" s="92">
        <f>IF($A56="",NA(),E56)</f>
        <v/>
      </c>
      <c r="N56" s="92">
        <f>IF($A56="",NA(),D56)</f>
        <v/>
      </c>
      <c r="O56" s="92">
        <f>IF($A56="",NA(),G56)</f>
        <v/>
      </c>
      <c r="P56" s="92">
        <f>IF($A56="",NA(),F56)</f>
        <v/>
      </c>
    </row>
    <row r="57">
      <c r="A57" s="31" t="n"/>
      <c r="B57" s="37" t="n"/>
      <c r="C57" s="37" t="n"/>
      <c r="D57" s="90">
        <f>IF(K57="","",D56+(A57-A56)/2*(COS(RADIANS(B56))+COS(RADIANS(B57)))*L57)</f>
        <v/>
      </c>
      <c r="E57" s="90">
        <f>IF(D57="","",F57*COS(RADIANS($B$3))+G57*SIN(RADIANS($B$3)))</f>
        <v/>
      </c>
      <c r="F57" s="90">
        <f>IF(K57="","",ROUND(F56+(A57-A56)/2*(SIN(RADIANS(B56))*COS(RADIANS(C56))+SIN(RADIANS(B57))*COS(RADIANS(C57)))*L57,4))</f>
        <v/>
      </c>
      <c r="G57" s="90">
        <f>IF(K57="","",ROUND(G56+(A57-A56)/2*(SIN(RADIANS(B56))*SIN(RADIANS(C56))+SIN(RADIANS(B57))*SIN(RADIANS(C57)))*L57,4))</f>
        <v/>
      </c>
      <c r="H57" s="91">
        <f>IF(K57="","",IF(A57=A56,0,K57*100/(A57-A56)))</f>
        <v/>
      </c>
      <c r="I57" s="92">
        <f>IF(A57="",9.9E+99,A57)</f>
        <v/>
      </c>
      <c r="J57" s="92">
        <f>IF(D57="",0,D57)</f>
        <v/>
      </c>
      <c r="K57" s="92">
        <f>IF(OR(A57="",A56=""),"",DEGREES(ACOS(MIN(1,MAX(-1,COS(RADIANS(B56))*COS(RADIANS(B57))+SIN(RADIANS(B56))*SIN(RADIANS(B57))*COS(RADIANS(C57-C56)))))))</f>
        <v/>
      </c>
      <c r="L57" s="92">
        <f>IF(K57="","",IF(K57=0,1,2/RADIANS(K57)*TAN(RADIANS(K57)/2)))</f>
        <v/>
      </c>
      <c r="M57" s="92">
        <f>IF($A57="",NA(),E57)</f>
        <v/>
      </c>
      <c r="N57" s="92">
        <f>IF($A57="",NA(),D57)</f>
        <v/>
      </c>
      <c r="O57" s="92">
        <f>IF($A57="",NA(),G57)</f>
        <v/>
      </c>
      <c r="P57" s="92">
        <f>IF($A57="",NA(),F57)</f>
        <v/>
      </c>
    </row>
    <row r="58">
      <c r="A58" s="31" t="n"/>
      <c r="B58" s="37" t="n"/>
      <c r="C58" s="37" t="n"/>
      <c r="D58" s="90">
        <f>IF(K58="","",D57+(A58-A57)/2*(COS(RADIANS(B57))+COS(RADIANS(B58)))*L58)</f>
        <v/>
      </c>
      <c r="E58" s="90">
        <f>IF(D58="","",F58*COS(RADIANS($B$3))+G58*SIN(RADIANS($B$3)))</f>
        <v/>
      </c>
      <c r="F58" s="90">
        <f>IF(K58="","",ROUND(F57+(A58-A57)/2*(SIN(RADIANS(B57))*COS(RADIANS(C57))+SIN(RADIANS(B58))*COS(RADIANS(C58)))*L58,4))</f>
        <v/>
      </c>
      <c r="G58" s="90">
        <f>IF(K58="","",ROUND(G57+(A58-A57)/2*(SIN(RADIANS(B57))*SIN(RADIANS(C57))+SIN(RADIANS(B58))*SIN(RADIANS(C58)))*L58,4))</f>
        <v/>
      </c>
      <c r="H58" s="91">
        <f>IF(K58="","",IF(A58=A57,0,K58*100/(A58-A57)))</f>
        <v/>
      </c>
      <c r="I58" s="92">
        <f>IF(A58="",9.9E+99,A58)</f>
        <v/>
      </c>
      <c r="J58" s="92">
        <f>IF(D58="",0,D58)</f>
        <v/>
      </c>
      <c r="K58" s="92">
        <f>IF(OR(A58="",A57=""),"",DEGREES(ACOS(MIN(1,MAX(-1,COS(RADIANS(B57))*COS(RADIANS(B58))+SIN(RADIANS(B57))*SIN(RADIANS(B58))*COS(RADIANS(C58-C57)))))))</f>
        <v/>
      </c>
      <c r="L58" s="92">
        <f>IF(K58="","",IF(K58=0,1,2/RADIANS(K58)*TAN(RADIANS(K58)/2)))</f>
        <v/>
      </c>
      <c r="M58" s="92">
        <f>IF($A58="",NA(),E58)</f>
        <v/>
      </c>
      <c r="N58" s="92">
        <f>IF($A58="",NA(),D58)</f>
        <v/>
      </c>
      <c r="O58" s="92">
        <f>IF($A58="",NA(),G58)</f>
        <v/>
      </c>
      <c r="P58" s="92">
        <f>IF($A58="",NA(),F58)</f>
        <v/>
      </c>
    </row>
    <row r="59">
      <c r="A59" s="31" t="n"/>
      <c r="B59" s="37" t="n"/>
      <c r="C59" s="37" t="n"/>
      <c r="D59" s="90">
        <f>IF(K59="","",D58+(A59-A58)/2*(COS(RADIANS(B58))+COS(RADIANS(B59)))*L59)</f>
        <v/>
      </c>
      <c r="E59" s="90">
        <f>IF(D59="","",F59*COS(RADIANS($B$3))+G59*SIN(RADIANS($B$3)))</f>
        <v/>
      </c>
      <c r="F59" s="90">
        <f>IF(K59="","",ROUND(F58+(A59-A58)/2*(SIN(RADIANS(B58))*COS(RADIANS(C58))+SIN(RADIANS(B59))*COS(RADIANS(C59)))*L59,4))</f>
        <v/>
      </c>
      <c r="G59" s="90">
        <f>IF(K59="","",ROUND(G58+(A59-A58)/2*(SIN(RADIANS(B58))*SIN(RADIANS(C58))+SIN(RADIANS(B59))*SIN(RADIANS(C59)))*L59,4))</f>
        <v/>
      </c>
      <c r="H59" s="91">
        <f>IF(K59="","",IF(A59=A58,0,K59*100/(A59-A58)))</f>
        <v/>
      </c>
      <c r="I59" s="92">
        <f>IF(A59="",9.9E+99,A59)</f>
        <v/>
      </c>
      <c r="J59" s="92">
        <f>IF(D59="",0,D59)</f>
        <v/>
      </c>
      <c r="K59" s="92">
        <f>IF(OR(A59="",A58=""),"",DEGREES(ACOS(MIN(1,MAX(-1,COS(RADIANS(B58))*COS(RADIANS(B59))+SIN(RADIANS(B58))*SIN(RADIANS(B59))*COS(RADIANS(C59-C58)))))))</f>
        <v/>
      </c>
      <c r="L59" s="92">
        <f>IF(K59="","",IF(K59=0,1,2/RADIANS(K59)*TAN(RADIANS(K59)/2)))</f>
        <v/>
      </c>
      <c r="M59" s="92">
        <f>IF($A59="",NA(),E59)</f>
        <v/>
      </c>
      <c r="N59" s="92">
        <f>IF($A59="",NA(),D59)</f>
        <v/>
      </c>
      <c r="O59" s="92">
        <f>IF($A59="",NA(),G59)</f>
        <v/>
      </c>
      <c r="P59" s="92">
        <f>IF($A59="",NA(),F59)</f>
        <v/>
      </c>
    </row>
    <row r="60">
      <c r="A60" s="31" t="n"/>
      <c r="B60" s="37" t="n"/>
      <c r="C60" s="37" t="n"/>
      <c r="D60" s="90">
        <f>IF(K60="","",D59+(A60-A59)/2*(COS(RADIANS(B59))+COS(RADIANS(B60)))*L60)</f>
        <v/>
      </c>
      <c r="E60" s="90">
        <f>IF(D60="","",F60*COS(RADIANS($B$3))+G60*SIN(RADIANS($B$3)))</f>
        <v/>
      </c>
      <c r="F60" s="90">
        <f>IF(K60="","",ROUND(F59+(A60-A59)/2*(SIN(RADIANS(B59))*COS(RADIANS(C59))+SIN(RADIANS(B60))*COS(RADIANS(C60)))*L60,4))</f>
        <v/>
      </c>
      <c r="G60" s="90">
        <f>IF(K60="","",ROUND(G59+(A60-A59)/2*(SIN(RADIANS(B59))*SIN(RADIANS(C59))+SIN(RADIANS(B60))*SIN(RADIANS(C60)))*L60,4))</f>
        <v/>
      </c>
      <c r="H60" s="91">
        <f>IF(K60="","",IF(A60=A59,0,K60*100/(A60-A59)))</f>
        <v/>
      </c>
      <c r="I60" s="92">
        <f>IF(A60="",9.9E+99,A60)</f>
        <v/>
      </c>
      <c r="J60" s="92">
        <f>IF(D60="",0,D60)</f>
        <v/>
      </c>
      <c r="K60" s="92">
        <f>IF(OR(A60="",A59=""),"",DEGREES(ACOS(MIN(1,MAX(-1,COS(RADIANS(B59))*COS(RADIANS(B60))+SIN(RADIANS(B59))*SIN(RADIANS(B60))*COS(RADIANS(C60-C59)))))))</f>
        <v/>
      </c>
      <c r="L60" s="92">
        <f>IF(K60="","",IF(K60=0,1,2/RADIANS(K60)*TAN(RADIANS(K60)/2)))</f>
        <v/>
      </c>
      <c r="M60" s="92">
        <f>IF($A60="",NA(),E60)</f>
        <v/>
      </c>
      <c r="N60" s="92">
        <f>IF($A60="",NA(),D60)</f>
        <v/>
      </c>
      <c r="O60" s="92">
        <f>IF($A60="",NA(),G60)</f>
        <v/>
      </c>
      <c r="P60" s="92">
        <f>IF($A60="",NA(),F60)</f>
        <v/>
      </c>
    </row>
    <row r="61">
      <c r="A61" s="31" t="n"/>
      <c r="B61" s="37" t="n"/>
      <c r="C61" s="37" t="n"/>
      <c r="D61" s="90">
        <f>IF(K61="","",D60+(A61-A60)/2*(COS(RADIANS(B60))+COS(RADIANS(B61)))*L61)</f>
        <v/>
      </c>
      <c r="E61" s="90">
        <f>IF(D61="","",F61*COS(RADIANS($B$3))+G61*SIN(RADIANS($B$3)))</f>
        <v/>
      </c>
      <c r="F61" s="90">
        <f>IF(K61="","",ROUND(F60+(A61-A60)/2*(SIN(RADIANS(B60))*COS(RADIANS(C60))+SIN(RADIANS(B61))*COS(RADIANS(C61)))*L61,4))</f>
        <v/>
      </c>
      <c r="G61" s="90">
        <f>IF(K61="","",ROUND(G60+(A61-A60)/2*(SIN(RADIANS(B60))*SIN(RADIANS(C60))+SIN(RADIANS(B61))*SIN(RADIANS(C61)))*L61,4))</f>
        <v/>
      </c>
      <c r="H61" s="91">
        <f>IF(K61="","",IF(A61=A60,0,K61*100/(A61-A60)))</f>
        <v/>
      </c>
      <c r="I61" s="92">
        <f>IF(A61="",9.9E+99,A61)</f>
        <v/>
      </c>
      <c r="J61" s="92">
        <f>IF(D61="",0,D61)</f>
        <v/>
      </c>
      <c r="K61" s="92">
        <f>IF(OR(A61="",A60=""),"",DEGREES(ACOS(MIN(1,MAX(-1,COS(RADIANS(B60))*COS(RADIANS(B61))+SIN(RADIANS(B60))*SIN(RADIANS(B61))*COS(RADIANS(C61-C60)))))))</f>
        <v/>
      </c>
      <c r="L61" s="92">
        <f>IF(K61="","",IF(K61=0,1,2/RADIANS(K61)*TAN(RADIANS(K61)/2)))</f>
        <v/>
      </c>
      <c r="M61" s="92">
        <f>IF($A61="",NA(),E61)</f>
        <v/>
      </c>
      <c r="N61" s="92">
        <f>IF($A61="",NA(),D61)</f>
        <v/>
      </c>
      <c r="O61" s="92">
        <f>IF($A61="",NA(),G61)</f>
        <v/>
      </c>
      <c r="P61" s="92">
        <f>IF($A61="",NA(),F61)</f>
        <v/>
      </c>
    </row>
    <row r="62">
      <c r="A62" s="31" t="n"/>
      <c r="B62" s="37" t="n"/>
      <c r="C62" s="37" t="n"/>
      <c r="D62" s="90">
        <f>IF(K62="","",D61+(A62-A61)/2*(COS(RADIANS(B61))+COS(RADIANS(B62)))*L62)</f>
        <v/>
      </c>
      <c r="E62" s="90">
        <f>IF(D62="","",F62*COS(RADIANS($B$3))+G62*SIN(RADIANS($B$3)))</f>
        <v/>
      </c>
      <c r="F62" s="90">
        <f>IF(K62="","",ROUND(F61+(A62-A61)/2*(SIN(RADIANS(B61))*COS(RADIANS(C61))+SIN(RADIANS(B62))*COS(RADIANS(C62)))*L62,4))</f>
        <v/>
      </c>
      <c r="G62" s="90">
        <f>IF(K62="","",ROUND(G61+(A62-A61)/2*(SIN(RADIANS(B61))*SIN(RADIANS(C61))+SIN(RADIANS(B62))*SIN(RADIANS(C62)))*L62,4))</f>
        <v/>
      </c>
      <c r="H62" s="91">
        <f>IF(K62="","",IF(A62=A61,0,K62*100/(A62-A61)))</f>
        <v/>
      </c>
      <c r="I62" s="92">
        <f>IF(A62="",9.9E+99,A62)</f>
        <v/>
      </c>
      <c r="J62" s="92">
        <f>IF(D62="",0,D62)</f>
        <v/>
      </c>
      <c r="K62" s="92">
        <f>IF(OR(A62="",A61=""),"",DEGREES(ACOS(MIN(1,MAX(-1,COS(RADIANS(B61))*COS(RADIANS(B62))+SIN(RADIANS(B61))*SIN(RADIANS(B62))*COS(RADIANS(C62-C61)))))))</f>
        <v/>
      </c>
      <c r="L62" s="92">
        <f>IF(K62="","",IF(K62=0,1,2/RADIANS(K62)*TAN(RADIANS(K62)/2)))</f>
        <v/>
      </c>
      <c r="M62" s="92">
        <f>IF($A62="",NA(),E62)</f>
        <v/>
      </c>
      <c r="N62" s="92">
        <f>IF($A62="",NA(),D62)</f>
        <v/>
      </c>
      <c r="O62" s="92">
        <f>IF($A62="",NA(),G62)</f>
        <v/>
      </c>
      <c r="P62" s="92">
        <f>IF($A62="",NA(),F62)</f>
        <v/>
      </c>
    </row>
    <row r="63">
      <c r="A63" s="31" t="n"/>
      <c r="B63" s="37" t="n"/>
      <c r="C63" s="37" t="n"/>
      <c r="D63" s="90">
        <f>IF(K63="","",D62+(A63-A62)/2*(COS(RADIANS(B62))+COS(RADIANS(B63)))*L63)</f>
        <v/>
      </c>
      <c r="E63" s="90">
        <f>IF(D63="","",F63*COS(RADIANS($B$3))+G63*SIN(RADIANS($B$3)))</f>
        <v/>
      </c>
      <c r="F63" s="90">
        <f>IF(K63="","",ROUND(F62+(A63-A62)/2*(SIN(RADIANS(B62))*COS(RADIANS(C62))+SIN(RADIANS(B63))*COS(RADIANS(C63)))*L63,4))</f>
        <v/>
      </c>
      <c r="G63" s="90">
        <f>IF(K63="","",ROUND(G62+(A63-A62)/2*(SIN(RADIANS(B62))*SIN(RADIANS(C62))+SIN(RADIANS(B63))*SIN(RADIANS(C63)))*L63,4))</f>
        <v/>
      </c>
      <c r="H63" s="91">
        <f>IF(K63="","",IF(A63=A62,0,K63*100/(A63-A62)))</f>
        <v/>
      </c>
      <c r="I63" s="92">
        <f>IF(A63="",9.9E+99,A63)</f>
        <v/>
      </c>
      <c r="J63" s="92">
        <f>IF(D63="",0,D63)</f>
        <v/>
      </c>
      <c r="K63" s="92">
        <f>IF(OR(A63="",A62=""),"",DEGREES(ACOS(MIN(1,MAX(-1,COS(RADIANS(B62))*COS(RADIANS(B63))+SIN(RADIANS(B62))*SIN(RADIANS(B63))*COS(RADIANS(C63-C62)))))))</f>
        <v/>
      </c>
      <c r="L63" s="92">
        <f>IF(K63="","",IF(K63=0,1,2/RADIANS(K63)*TAN(RADIANS(K63)/2)))</f>
        <v/>
      </c>
      <c r="M63" s="92">
        <f>IF($A63="",NA(),E63)</f>
        <v/>
      </c>
      <c r="N63" s="92">
        <f>IF($A63="",NA(),D63)</f>
        <v/>
      </c>
      <c r="O63" s="92">
        <f>IF($A63="",NA(),G63)</f>
        <v/>
      </c>
      <c r="P63" s="92">
        <f>IF($A63="",NA(),F63)</f>
        <v/>
      </c>
    </row>
    <row r="64">
      <c r="A64" s="31" t="n"/>
      <c r="B64" s="37" t="n"/>
      <c r="C64" s="37" t="n"/>
      <c r="D64" s="90">
        <f>IF(K64="","",D63+(A64-A63)/2*(COS(RADIANS(B63))+COS(RADIANS(B64)))*L64)</f>
        <v/>
      </c>
      <c r="E64" s="90">
        <f>IF(D64="","",F64*COS(RADIANS($B$3))+G64*SIN(RADIANS($B$3)))</f>
        <v/>
      </c>
      <c r="F64" s="90">
        <f>IF(K64="","",ROUND(F63+(A64-A63)/2*(SIN(RADIANS(B63))*COS(RADIANS(C63))+SIN(RADIANS(B64))*COS(RADIANS(C64)))*L64,4))</f>
        <v/>
      </c>
      <c r="G64" s="90">
        <f>IF(K64="","",ROUND(G63+(A64-A63)/2*(SIN(RADIANS(B63))*SIN(RADIANS(C63))+SIN(RADIANS(B64))*SIN(RADIANS(C64)))*L64,4))</f>
        <v/>
      </c>
      <c r="H64" s="91">
        <f>IF(K64="","",IF(A64=A63,0,K64*100/(A64-A63)))</f>
        <v/>
      </c>
      <c r="I64" s="92">
        <f>IF(A64="",9.9E+99,A64)</f>
        <v/>
      </c>
      <c r="J64" s="92">
        <f>IF(D64="",0,D64)</f>
        <v/>
      </c>
      <c r="K64" s="92">
        <f>IF(OR(A64="",A63=""),"",DEGREES(ACOS(MIN(1,MAX(-1,COS(RADIANS(B63))*COS(RADIANS(B64))+SIN(RADIANS(B63))*SIN(RADIANS(B64))*COS(RADIANS(C64-C63)))))))</f>
        <v/>
      </c>
      <c r="L64" s="92">
        <f>IF(K64="","",IF(K64=0,1,2/RADIANS(K64)*TAN(RADIANS(K64)/2)))</f>
        <v/>
      </c>
      <c r="M64" s="92">
        <f>IF($A64="",NA(),E64)</f>
        <v/>
      </c>
      <c r="N64" s="92">
        <f>IF($A64="",NA(),D64)</f>
        <v/>
      </c>
      <c r="O64" s="92">
        <f>IF($A64="",NA(),G64)</f>
        <v/>
      </c>
      <c r="P64" s="92">
        <f>IF($A64="",NA(),F64)</f>
        <v/>
      </c>
    </row>
    <row r="65">
      <c r="A65" s="31" t="n"/>
      <c r="B65" s="37" t="n"/>
      <c r="C65" s="37" t="n"/>
      <c r="D65" s="90">
        <f>IF(K65="","",D64+(A65-A64)/2*(COS(RADIANS(B64))+COS(RADIANS(B65)))*L65)</f>
        <v/>
      </c>
      <c r="E65" s="90">
        <f>IF(D65="","",F65*COS(RADIANS($B$3))+G65*SIN(RADIANS($B$3)))</f>
        <v/>
      </c>
      <c r="F65" s="90">
        <f>IF(K65="","",ROUND(F64+(A65-A64)/2*(SIN(RADIANS(B64))*COS(RADIANS(C64))+SIN(RADIANS(B65))*COS(RADIANS(C65)))*L65,4))</f>
        <v/>
      </c>
      <c r="G65" s="90">
        <f>IF(K65="","",ROUND(G64+(A65-A64)/2*(SIN(RADIANS(B64))*SIN(RADIANS(C64))+SIN(RADIANS(B65))*SIN(RADIANS(C65)))*L65,4))</f>
        <v/>
      </c>
      <c r="H65" s="91">
        <f>IF(K65="","",IF(A65=A64,0,K65*100/(A65-A64)))</f>
        <v/>
      </c>
      <c r="I65" s="92">
        <f>IF(A65="",9.9E+99,A65)</f>
        <v/>
      </c>
      <c r="J65" s="92">
        <f>IF(D65="",0,D65)</f>
        <v/>
      </c>
      <c r="K65" s="92">
        <f>IF(OR(A65="",A64=""),"",DEGREES(ACOS(MIN(1,MAX(-1,COS(RADIANS(B64))*COS(RADIANS(B65))+SIN(RADIANS(B64))*SIN(RADIANS(B65))*COS(RADIANS(C65-C64)))))))</f>
        <v/>
      </c>
      <c r="L65" s="92">
        <f>IF(K65="","",IF(K65=0,1,2/RADIANS(K65)*TAN(RADIANS(K65)/2)))</f>
        <v/>
      </c>
      <c r="M65" s="92">
        <f>IF($A65="",NA(),E65)</f>
        <v/>
      </c>
      <c r="N65" s="92">
        <f>IF($A65="",NA(),D65)</f>
        <v/>
      </c>
      <c r="O65" s="92">
        <f>IF($A65="",NA(),G65)</f>
        <v/>
      </c>
      <c r="P65" s="92">
        <f>IF($A65="",NA(),F65)</f>
        <v/>
      </c>
    </row>
    <row r="66">
      <c r="A66" s="31" t="n"/>
      <c r="B66" s="37" t="n"/>
      <c r="C66" s="37" t="n"/>
      <c r="D66" s="90">
        <f>IF(K66="","",D65+(A66-A65)/2*(COS(RADIANS(B65))+COS(RADIANS(B66)))*L66)</f>
        <v/>
      </c>
      <c r="E66" s="90">
        <f>IF(D66="","",F66*COS(RADIANS($B$3))+G66*SIN(RADIANS($B$3)))</f>
        <v/>
      </c>
      <c r="F66" s="90">
        <f>IF(K66="","",ROUND(F65+(A66-A65)/2*(SIN(RADIANS(B65))*COS(RADIANS(C65))+SIN(RADIANS(B66))*COS(RADIANS(C66)))*L66,4))</f>
        <v/>
      </c>
      <c r="G66" s="90">
        <f>IF(K66="","",ROUND(G65+(A66-A65)/2*(SIN(RADIANS(B65))*SIN(RADIANS(C65))+SIN(RADIANS(B66))*SIN(RADIANS(C66)))*L66,4))</f>
        <v/>
      </c>
      <c r="H66" s="91">
        <f>IF(K66="","",IF(A66=A65,0,K66*100/(A66-A65)))</f>
        <v/>
      </c>
      <c r="I66" s="92">
        <f>IF(A66="",9.9E+99,A66)</f>
        <v/>
      </c>
      <c r="J66" s="92">
        <f>IF(D66="",0,D66)</f>
        <v/>
      </c>
      <c r="K66" s="92">
        <f>IF(OR(A66="",A65=""),"",DEGREES(ACOS(MIN(1,MAX(-1,COS(RADIANS(B65))*COS(RADIANS(B66))+SIN(RADIANS(B65))*SIN(RADIANS(B66))*COS(RADIANS(C66-C65)))))))</f>
        <v/>
      </c>
      <c r="L66" s="92">
        <f>IF(K66="","",IF(K66=0,1,2/RADIANS(K66)*TAN(RADIANS(K66)/2)))</f>
        <v/>
      </c>
      <c r="M66" s="92">
        <f>IF($A66="",NA(),E66)</f>
        <v/>
      </c>
      <c r="N66" s="92">
        <f>IF($A66="",NA(),D66)</f>
        <v/>
      </c>
      <c r="O66" s="92">
        <f>IF($A66="",NA(),G66)</f>
        <v/>
      </c>
      <c r="P66" s="92">
        <f>IF($A66="",NA(),F66)</f>
        <v/>
      </c>
    </row>
    <row r="67">
      <c r="A67" s="31" t="n"/>
      <c r="B67" s="37" t="n"/>
      <c r="C67" s="37" t="n"/>
      <c r="D67" s="90">
        <f>IF(K67="","",D66+(A67-A66)/2*(COS(RADIANS(B66))+COS(RADIANS(B67)))*L67)</f>
        <v/>
      </c>
      <c r="E67" s="90">
        <f>IF(D67="","",F67*COS(RADIANS($B$3))+G67*SIN(RADIANS($B$3)))</f>
        <v/>
      </c>
      <c r="F67" s="90">
        <f>IF(K67="","",ROUND(F66+(A67-A66)/2*(SIN(RADIANS(B66))*COS(RADIANS(C66))+SIN(RADIANS(B67))*COS(RADIANS(C67)))*L67,4))</f>
        <v/>
      </c>
      <c r="G67" s="90">
        <f>IF(K67="","",ROUND(G66+(A67-A66)/2*(SIN(RADIANS(B66))*SIN(RADIANS(C66))+SIN(RADIANS(B67))*SIN(RADIANS(C67)))*L67,4))</f>
        <v/>
      </c>
      <c r="H67" s="91">
        <f>IF(K67="","",IF(A67=A66,0,K67*100/(A67-A66)))</f>
        <v/>
      </c>
      <c r="I67" s="92">
        <f>IF(A67="",9.9E+99,A67)</f>
        <v/>
      </c>
      <c r="J67" s="92">
        <f>IF(D67="",0,D67)</f>
        <v/>
      </c>
      <c r="K67" s="92">
        <f>IF(OR(A67="",A66=""),"",DEGREES(ACOS(MIN(1,MAX(-1,COS(RADIANS(B66))*COS(RADIANS(B67))+SIN(RADIANS(B66))*SIN(RADIANS(B67))*COS(RADIANS(C67-C66)))))))</f>
        <v/>
      </c>
      <c r="L67" s="92">
        <f>IF(K67="","",IF(K67=0,1,2/RADIANS(K67)*TAN(RADIANS(K67)/2)))</f>
        <v/>
      </c>
      <c r="M67" s="92">
        <f>IF($A67="",NA(),E67)</f>
        <v/>
      </c>
      <c r="N67" s="92">
        <f>IF($A67="",NA(),D67)</f>
        <v/>
      </c>
      <c r="O67" s="92">
        <f>IF($A67="",NA(),G67)</f>
        <v/>
      </c>
      <c r="P67" s="92">
        <f>IF($A67="",NA(),F67)</f>
        <v/>
      </c>
    </row>
    <row r="68">
      <c r="A68" s="31" t="n"/>
      <c r="B68" s="37" t="n"/>
      <c r="C68" s="37" t="n"/>
      <c r="D68" s="90">
        <f>IF(K68="","",D67+(A68-A67)/2*(COS(RADIANS(B67))+COS(RADIANS(B68)))*L68)</f>
        <v/>
      </c>
      <c r="E68" s="90">
        <f>IF(D68="","",F68*COS(RADIANS($B$3))+G68*SIN(RADIANS($B$3)))</f>
        <v/>
      </c>
      <c r="F68" s="90">
        <f>IF(K68="","",ROUND(F67+(A68-A67)/2*(SIN(RADIANS(B67))*COS(RADIANS(C67))+SIN(RADIANS(B68))*COS(RADIANS(C68)))*L68,4))</f>
        <v/>
      </c>
      <c r="G68" s="90">
        <f>IF(K68="","",ROUND(G67+(A68-A67)/2*(SIN(RADIANS(B67))*SIN(RADIANS(C67))+SIN(RADIANS(B68))*SIN(RADIANS(C68)))*L68,4))</f>
        <v/>
      </c>
      <c r="H68" s="91">
        <f>IF(K68="","",IF(A68=A67,0,K68*100/(A68-A67)))</f>
        <v/>
      </c>
      <c r="I68" s="92">
        <f>IF(A68="",9.9E+99,A68)</f>
        <v/>
      </c>
      <c r="J68" s="92">
        <f>IF(D68="",0,D68)</f>
        <v/>
      </c>
      <c r="K68" s="92">
        <f>IF(OR(A68="",A67=""),"",DEGREES(ACOS(MIN(1,MAX(-1,COS(RADIANS(B67))*COS(RADIANS(B68))+SIN(RADIANS(B67))*SIN(RADIANS(B68))*COS(RADIANS(C68-C67)))))))</f>
        <v/>
      </c>
      <c r="L68" s="92">
        <f>IF(K68="","",IF(K68=0,1,2/RADIANS(K68)*TAN(RADIANS(K68)/2)))</f>
        <v/>
      </c>
      <c r="M68" s="92">
        <f>IF($A68="",NA(),E68)</f>
        <v/>
      </c>
      <c r="N68" s="92">
        <f>IF($A68="",NA(),D68)</f>
        <v/>
      </c>
      <c r="O68" s="92">
        <f>IF($A68="",NA(),G68)</f>
        <v/>
      </c>
      <c r="P68" s="92">
        <f>IF($A68="",NA(),F68)</f>
        <v/>
      </c>
    </row>
    <row r="69">
      <c r="A69" s="31" t="n"/>
      <c r="B69" s="37" t="n"/>
      <c r="C69" s="37" t="n"/>
      <c r="D69" s="90">
        <f>IF(K69="","",D68+(A69-A68)/2*(COS(RADIANS(B68))+COS(RADIANS(B69)))*L69)</f>
        <v/>
      </c>
      <c r="E69" s="90">
        <f>IF(D69="","",F69*COS(RADIANS($B$3))+G69*SIN(RADIANS($B$3)))</f>
        <v/>
      </c>
      <c r="F69" s="90">
        <f>IF(K69="","",ROUND(F68+(A69-A68)/2*(SIN(RADIANS(B68))*COS(RADIANS(C68))+SIN(RADIANS(B69))*COS(RADIANS(C69)))*L69,4))</f>
        <v/>
      </c>
      <c r="G69" s="90">
        <f>IF(K69="","",ROUND(G68+(A69-A68)/2*(SIN(RADIANS(B68))*SIN(RADIANS(C68))+SIN(RADIANS(B69))*SIN(RADIANS(C69)))*L69,4))</f>
        <v/>
      </c>
      <c r="H69" s="91">
        <f>IF(K69="","",IF(A69=A68,0,K69*100/(A69-A68)))</f>
        <v/>
      </c>
      <c r="I69" s="92">
        <f>IF(A69="",9.9E+99,A69)</f>
        <v/>
      </c>
      <c r="J69" s="92">
        <f>IF(D69="",0,D69)</f>
        <v/>
      </c>
      <c r="K69" s="92">
        <f>IF(OR(A69="",A68=""),"",DEGREES(ACOS(MIN(1,MAX(-1,COS(RADIANS(B68))*COS(RADIANS(B69))+SIN(RADIANS(B68))*SIN(RADIANS(B69))*COS(RADIANS(C69-C68)))))))</f>
        <v/>
      </c>
      <c r="L69" s="92">
        <f>IF(K69="","",IF(K69=0,1,2/RADIANS(K69)*TAN(RADIANS(K69)/2)))</f>
        <v/>
      </c>
      <c r="M69" s="92">
        <f>IF($A69="",NA(),E69)</f>
        <v/>
      </c>
      <c r="N69" s="92">
        <f>IF($A69="",NA(),D69)</f>
        <v/>
      </c>
      <c r="O69" s="92">
        <f>IF($A69="",NA(),G69)</f>
        <v/>
      </c>
      <c r="P69" s="92">
        <f>IF($A69="",NA(),F69)</f>
        <v/>
      </c>
    </row>
    <row r="70">
      <c r="A70" s="31" t="n"/>
      <c r="B70" s="37" t="n"/>
      <c r="C70" s="37" t="n"/>
      <c r="D70" s="90">
        <f>IF(K70="","",D69+(A70-A69)/2*(COS(RADIANS(B69))+COS(RADIANS(B70)))*L70)</f>
        <v/>
      </c>
      <c r="E70" s="90">
        <f>IF(D70="","",F70*COS(RADIANS($B$3))+G70*SIN(RADIANS($B$3)))</f>
        <v/>
      </c>
      <c r="F70" s="90">
        <f>IF(K70="","",ROUND(F69+(A70-A69)/2*(SIN(RADIANS(B69))*COS(RADIANS(C69))+SIN(RADIANS(B70))*COS(RADIANS(C70)))*L70,4))</f>
        <v/>
      </c>
      <c r="G70" s="90">
        <f>IF(K70="","",ROUND(G69+(A70-A69)/2*(SIN(RADIANS(B69))*SIN(RADIANS(C69))+SIN(RADIANS(B70))*SIN(RADIANS(C70)))*L70,4))</f>
        <v/>
      </c>
      <c r="H70" s="91">
        <f>IF(K70="","",IF(A70=A69,0,K70*100/(A70-A69)))</f>
        <v/>
      </c>
      <c r="I70" s="92">
        <f>IF(A70="",9.9E+99,A70)</f>
        <v/>
      </c>
      <c r="J70" s="92">
        <f>IF(D70="",0,D70)</f>
        <v/>
      </c>
      <c r="K70" s="92">
        <f>IF(OR(A70="",A69=""),"",DEGREES(ACOS(MIN(1,MAX(-1,COS(RADIANS(B69))*COS(RADIANS(B70))+SIN(RADIANS(B69))*SIN(RADIANS(B70))*COS(RADIANS(C70-C69)))))))</f>
        <v/>
      </c>
      <c r="L70" s="92">
        <f>IF(K70="","",IF(K70=0,1,2/RADIANS(K70)*TAN(RADIANS(K70)/2)))</f>
        <v/>
      </c>
      <c r="M70" s="92">
        <f>IF($A70="",NA(),E70)</f>
        <v/>
      </c>
      <c r="N70" s="92">
        <f>IF($A70="",NA(),D70)</f>
        <v/>
      </c>
      <c r="O70" s="92">
        <f>IF($A70="",NA(),G70)</f>
        <v/>
      </c>
      <c r="P70" s="92">
        <f>IF($A70="",NA(),F70)</f>
        <v/>
      </c>
    </row>
    <row r="71">
      <c r="A71" s="31" t="n"/>
      <c r="B71" s="37" t="n"/>
      <c r="C71" s="37" t="n"/>
      <c r="D71" s="90">
        <f>IF(K71="","",D70+(A71-A70)/2*(COS(RADIANS(B70))+COS(RADIANS(B71)))*L71)</f>
        <v/>
      </c>
      <c r="E71" s="90">
        <f>IF(D71="","",F71*COS(RADIANS($B$3))+G71*SIN(RADIANS($B$3)))</f>
        <v/>
      </c>
      <c r="F71" s="90">
        <f>IF(K71="","",ROUND(F70+(A71-A70)/2*(SIN(RADIANS(B70))*COS(RADIANS(C70))+SIN(RADIANS(B71))*COS(RADIANS(C71)))*L71,4))</f>
        <v/>
      </c>
      <c r="G71" s="90">
        <f>IF(K71="","",ROUND(G70+(A71-A70)/2*(SIN(RADIANS(B70))*SIN(RADIANS(C70))+SIN(RADIANS(B71))*SIN(RADIANS(C71)))*L71,4))</f>
        <v/>
      </c>
      <c r="H71" s="91">
        <f>IF(K71="","",IF(A71=A70,0,K71*100/(A71-A70)))</f>
        <v/>
      </c>
      <c r="I71" s="92">
        <f>IF(A71="",9.9E+99,A71)</f>
        <v/>
      </c>
      <c r="J71" s="92">
        <f>IF(D71="",0,D71)</f>
        <v/>
      </c>
      <c r="K71" s="92">
        <f>IF(OR(A71="",A70=""),"",DEGREES(ACOS(MIN(1,MAX(-1,COS(RADIANS(B70))*COS(RADIANS(B71))+SIN(RADIANS(B70))*SIN(RADIANS(B71))*COS(RADIANS(C71-C70)))))))</f>
        <v/>
      </c>
      <c r="L71" s="92">
        <f>IF(K71="","",IF(K71=0,1,2/RADIANS(K71)*TAN(RADIANS(K71)/2)))</f>
        <v/>
      </c>
      <c r="M71" s="92">
        <f>IF($A71="",NA(),E71)</f>
        <v/>
      </c>
      <c r="N71" s="92">
        <f>IF($A71="",NA(),D71)</f>
        <v/>
      </c>
      <c r="O71" s="92">
        <f>IF($A71="",NA(),G71)</f>
        <v/>
      </c>
      <c r="P71" s="92">
        <f>IF($A71="",NA(),F71)</f>
        <v/>
      </c>
    </row>
    <row r="72">
      <c r="A72" s="31" t="n"/>
      <c r="B72" s="37" t="n"/>
      <c r="C72" s="37" t="n"/>
      <c r="D72" s="90">
        <f>IF(K72="","",D71+(A72-A71)/2*(COS(RADIANS(B71))+COS(RADIANS(B72)))*L72)</f>
        <v/>
      </c>
      <c r="E72" s="90">
        <f>IF(D72="","",F72*COS(RADIANS($B$3))+G72*SIN(RADIANS($B$3)))</f>
        <v/>
      </c>
      <c r="F72" s="90">
        <f>IF(K72="","",ROUND(F71+(A72-A71)/2*(SIN(RADIANS(B71))*COS(RADIANS(C71))+SIN(RADIANS(B72))*COS(RADIANS(C72)))*L72,4))</f>
        <v/>
      </c>
      <c r="G72" s="90">
        <f>IF(K72="","",ROUND(G71+(A72-A71)/2*(SIN(RADIANS(B71))*SIN(RADIANS(C71))+SIN(RADIANS(B72))*SIN(RADIANS(C72)))*L72,4))</f>
        <v/>
      </c>
      <c r="H72" s="91">
        <f>IF(K72="","",IF(A72=A71,0,K72*100/(A72-A71)))</f>
        <v/>
      </c>
      <c r="I72" s="92">
        <f>IF(A72="",9.9E+99,A72)</f>
        <v/>
      </c>
      <c r="J72" s="92">
        <f>IF(D72="",0,D72)</f>
        <v/>
      </c>
      <c r="K72" s="92">
        <f>IF(OR(A72="",A71=""),"",DEGREES(ACOS(MIN(1,MAX(-1,COS(RADIANS(B71))*COS(RADIANS(B72))+SIN(RADIANS(B71))*SIN(RADIANS(B72))*COS(RADIANS(C72-C71)))))))</f>
        <v/>
      </c>
      <c r="L72" s="92">
        <f>IF(K72="","",IF(K72=0,1,2/RADIANS(K72)*TAN(RADIANS(K72)/2)))</f>
        <v/>
      </c>
      <c r="M72" s="92">
        <f>IF($A72="",NA(),E72)</f>
        <v/>
      </c>
      <c r="N72" s="92">
        <f>IF($A72="",NA(),D72)</f>
        <v/>
      </c>
      <c r="O72" s="92">
        <f>IF($A72="",NA(),G72)</f>
        <v/>
      </c>
      <c r="P72" s="92">
        <f>IF($A72="",NA(),F72)</f>
        <v/>
      </c>
    </row>
    <row r="73">
      <c r="A73" s="31" t="n"/>
      <c r="B73" s="37" t="n"/>
      <c r="C73" s="37" t="n"/>
      <c r="D73" s="90">
        <f>IF(K73="","",D72+(A73-A72)/2*(COS(RADIANS(B72))+COS(RADIANS(B73)))*L73)</f>
        <v/>
      </c>
      <c r="E73" s="90">
        <f>IF(D73="","",F73*COS(RADIANS($B$3))+G73*SIN(RADIANS($B$3)))</f>
        <v/>
      </c>
      <c r="F73" s="90">
        <f>IF(K73="","",ROUND(F72+(A73-A72)/2*(SIN(RADIANS(B72))*COS(RADIANS(C72))+SIN(RADIANS(B73))*COS(RADIANS(C73)))*L73,4))</f>
        <v/>
      </c>
      <c r="G73" s="90">
        <f>IF(K73="","",ROUND(G72+(A73-A72)/2*(SIN(RADIANS(B72))*SIN(RADIANS(C72))+SIN(RADIANS(B73))*SIN(RADIANS(C73)))*L73,4))</f>
        <v/>
      </c>
      <c r="H73" s="91">
        <f>IF(K73="","",IF(A73=A72,0,K73*100/(A73-A72)))</f>
        <v/>
      </c>
      <c r="I73" s="92">
        <f>IF(A73="",9.9E+99,A73)</f>
        <v/>
      </c>
      <c r="J73" s="92">
        <f>IF(D73="",0,D73)</f>
        <v/>
      </c>
      <c r="K73" s="92">
        <f>IF(OR(A73="",A72=""),"",DEGREES(ACOS(MIN(1,MAX(-1,COS(RADIANS(B72))*COS(RADIANS(B73))+SIN(RADIANS(B72))*SIN(RADIANS(B73))*COS(RADIANS(C73-C72)))))))</f>
        <v/>
      </c>
      <c r="L73" s="92">
        <f>IF(K73="","",IF(K73=0,1,2/RADIANS(K73)*TAN(RADIANS(K73)/2)))</f>
        <v/>
      </c>
      <c r="M73" s="92">
        <f>IF($A73="",NA(),E73)</f>
        <v/>
      </c>
      <c r="N73" s="92">
        <f>IF($A73="",NA(),D73)</f>
        <v/>
      </c>
      <c r="O73" s="92">
        <f>IF($A73="",NA(),G73)</f>
        <v/>
      </c>
      <c r="P73" s="92">
        <f>IF($A73="",NA(),F73)</f>
        <v/>
      </c>
    </row>
    <row r="74">
      <c r="A74" s="31" t="n"/>
      <c r="B74" s="37" t="n"/>
      <c r="C74" s="37" t="n"/>
      <c r="D74" s="90">
        <f>IF(K74="","",D73+(A74-A73)/2*(COS(RADIANS(B73))+COS(RADIANS(B74)))*L74)</f>
        <v/>
      </c>
      <c r="E74" s="90">
        <f>IF(D74="","",F74*COS(RADIANS($B$3))+G74*SIN(RADIANS($B$3)))</f>
        <v/>
      </c>
      <c r="F74" s="90">
        <f>IF(K74="","",ROUND(F73+(A74-A73)/2*(SIN(RADIANS(B73))*COS(RADIANS(C73))+SIN(RADIANS(B74))*COS(RADIANS(C74)))*L74,4))</f>
        <v/>
      </c>
      <c r="G74" s="90">
        <f>IF(K74="","",ROUND(G73+(A74-A73)/2*(SIN(RADIANS(B73))*SIN(RADIANS(C73))+SIN(RADIANS(B74))*SIN(RADIANS(C74)))*L74,4))</f>
        <v/>
      </c>
      <c r="H74" s="91">
        <f>IF(K74="","",IF(A74=A73,0,K74*100/(A74-A73)))</f>
        <v/>
      </c>
      <c r="I74" s="92">
        <f>IF(A74="",9.9E+99,A74)</f>
        <v/>
      </c>
      <c r="J74" s="92">
        <f>IF(D74="",0,D74)</f>
        <v/>
      </c>
      <c r="K74" s="92">
        <f>IF(OR(A74="",A73=""),"",DEGREES(ACOS(MIN(1,MAX(-1,COS(RADIANS(B73))*COS(RADIANS(B74))+SIN(RADIANS(B73))*SIN(RADIANS(B74))*COS(RADIANS(C74-C73)))))))</f>
        <v/>
      </c>
      <c r="L74" s="92">
        <f>IF(K74="","",IF(K74=0,1,2/RADIANS(K74)*TAN(RADIANS(K74)/2)))</f>
        <v/>
      </c>
      <c r="M74" s="92">
        <f>IF($A74="",NA(),E74)</f>
        <v/>
      </c>
      <c r="N74" s="92">
        <f>IF($A74="",NA(),D74)</f>
        <v/>
      </c>
      <c r="O74" s="92">
        <f>IF($A74="",NA(),G74)</f>
        <v/>
      </c>
      <c r="P74" s="92">
        <f>IF($A74="",NA(),F74)</f>
        <v/>
      </c>
    </row>
    <row r="75">
      <c r="A75" s="31" t="n"/>
      <c r="B75" s="37" t="n"/>
      <c r="C75" s="37" t="n"/>
      <c r="D75" s="90">
        <f>IF(K75="","",D74+(A75-A74)/2*(COS(RADIANS(B74))+COS(RADIANS(B75)))*L75)</f>
        <v/>
      </c>
      <c r="E75" s="90">
        <f>IF(D75="","",F75*COS(RADIANS($B$3))+G75*SIN(RADIANS($B$3)))</f>
        <v/>
      </c>
      <c r="F75" s="90">
        <f>IF(K75="","",ROUND(F74+(A75-A74)/2*(SIN(RADIANS(B74))*COS(RADIANS(C74))+SIN(RADIANS(B75))*COS(RADIANS(C75)))*L75,4))</f>
        <v/>
      </c>
      <c r="G75" s="90">
        <f>IF(K75="","",ROUND(G74+(A75-A74)/2*(SIN(RADIANS(B74))*SIN(RADIANS(C74))+SIN(RADIANS(B75))*SIN(RADIANS(C75)))*L75,4))</f>
        <v/>
      </c>
      <c r="H75" s="91">
        <f>IF(K75="","",IF(A75=A74,0,K75*100/(A75-A74)))</f>
        <v/>
      </c>
      <c r="I75" s="92">
        <f>IF(A75="",9.9E+99,A75)</f>
        <v/>
      </c>
      <c r="J75" s="92">
        <f>IF(D75="",0,D75)</f>
        <v/>
      </c>
      <c r="K75" s="92">
        <f>IF(OR(A75="",A74=""),"",DEGREES(ACOS(MIN(1,MAX(-1,COS(RADIANS(B74))*COS(RADIANS(B75))+SIN(RADIANS(B74))*SIN(RADIANS(B75))*COS(RADIANS(C75-C74)))))))</f>
        <v/>
      </c>
      <c r="L75" s="92">
        <f>IF(K75="","",IF(K75=0,1,2/RADIANS(K75)*TAN(RADIANS(K75)/2)))</f>
        <v/>
      </c>
      <c r="M75" s="92">
        <f>IF($A75="",NA(),E75)</f>
        <v/>
      </c>
      <c r="N75" s="92">
        <f>IF($A75="",NA(),D75)</f>
        <v/>
      </c>
      <c r="O75" s="92">
        <f>IF($A75="",NA(),G75)</f>
        <v/>
      </c>
      <c r="P75" s="92">
        <f>IF($A75="",NA(),F75)</f>
        <v/>
      </c>
    </row>
    <row r="76">
      <c r="A76" s="31" t="n"/>
      <c r="B76" s="37" t="n"/>
      <c r="C76" s="37" t="n"/>
      <c r="D76" s="90">
        <f>IF(K76="","",D75+(A76-A75)/2*(COS(RADIANS(B75))+COS(RADIANS(B76)))*L76)</f>
        <v/>
      </c>
      <c r="E76" s="90">
        <f>IF(D76="","",F76*COS(RADIANS($B$3))+G76*SIN(RADIANS($B$3)))</f>
        <v/>
      </c>
      <c r="F76" s="90">
        <f>IF(K76="","",ROUND(F75+(A76-A75)/2*(SIN(RADIANS(B75))*COS(RADIANS(C75))+SIN(RADIANS(B76))*COS(RADIANS(C76)))*L76,4))</f>
        <v/>
      </c>
      <c r="G76" s="90">
        <f>IF(K76="","",ROUND(G75+(A76-A75)/2*(SIN(RADIANS(B75))*SIN(RADIANS(C75))+SIN(RADIANS(B76))*SIN(RADIANS(C76)))*L76,4))</f>
        <v/>
      </c>
      <c r="H76" s="91">
        <f>IF(K76="","",IF(A76=A75,0,K76*100/(A76-A75)))</f>
        <v/>
      </c>
      <c r="I76" s="92">
        <f>IF(A76="",9.9E+99,A76)</f>
        <v/>
      </c>
      <c r="J76" s="92">
        <f>IF(D76="",0,D76)</f>
        <v/>
      </c>
      <c r="K76" s="92">
        <f>IF(OR(A76="",A75=""),"",DEGREES(ACOS(MIN(1,MAX(-1,COS(RADIANS(B75))*COS(RADIANS(B76))+SIN(RADIANS(B75))*SIN(RADIANS(B76))*COS(RADIANS(C76-C75)))))))</f>
        <v/>
      </c>
      <c r="L76" s="92">
        <f>IF(K76="","",IF(K76=0,1,2/RADIANS(K76)*TAN(RADIANS(K76)/2)))</f>
        <v/>
      </c>
      <c r="M76" s="92">
        <f>IF($A76="",NA(),E76)</f>
        <v/>
      </c>
      <c r="N76" s="92">
        <f>IF($A76="",NA(),D76)</f>
        <v/>
      </c>
      <c r="O76" s="92">
        <f>IF($A76="",NA(),G76)</f>
        <v/>
      </c>
      <c r="P76" s="92">
        <f>IF($A76="",NA(),F76)</f>
        <v/>
      </c>
    </row>
    <row r="77">
      <c r="A77" s="31" t="n"/>
      <c r="B77" s="37" t="n"/>
      <c r="C77" s="37" t="n"/>
      <c r="D77" s="90">
        <f>IF(K77="","",D76+(A77-A76)/2*(COS(RADIANS(B76))+COS(RADIANS(B77)))*L77)</f>
        <v/>
      </c>
      <c r="E77" s="90">
        <f>IF(D77="","",F77*COS(RADIANS($B$3))+G77*SIN(RADIANS($B$3)))</f>
        <v/>
      </c>
      <c r="F77" s="90">
        <f>IF(K77="","",ROUND(F76+(A77-A76)/2*(SIN(RADIANS(B76))*COS(RADIANS(C76))+SIN(RADIANS(B77))*COS(RADIANS(C77)))*L77,4))</f>
        <v/>
      </c>
      <c r="G77" s="90">
        <f>IF(K77="","",ROUND(G76+(A77-A76)/2*(SIN(RADIANS(B76))*SIN(RADIANS(C76))+SIN(RADIANS(B77))*SIN(RADIANS(C77)))*L77,4))</f>
        <v/>
      </c>
      <c r="H77" s="91">
        <f>IF(K77="","",IF(A77=A76,0,K77*100/(A77-A76)))</f>
        <v/>
      </c>
      <c r="I77" s="92">
        <f>IF(A77="",9.9E+99,A77)</f>
        <v/>
      </c>
      <c r="J77" s="92">
        <f>IF(D77="",0,D77)</f>
        <v/>
      </c>
      <c r="K77" s="92">
        <f>IF(OR(A77="",A76=""),"",DEGREES(ACOS(MIN(1,MAX(-1,COS(RADIANS(B76))*COS(RADIANS(B77))+SIN(RADIANS(B76))*SIN(RADIANS(B77))*COS(RADIANS(C77-C76)))))))</f>
        <v/>
      </c>
      <c r="L77" s="92">
        <f>IF(K77="","",IF(K77=0,1,2/RADIANS(K77)*TAN(RADIANS(K77)/2)))</f>
        <v/>
      </c>
      <c r="M77" s="92">
        <f>IF($A77="",NA(),E77)</f>
        <v/>
      </c>
      <c r="N77" s="92">
        <f>IF($A77="",NA(),D77)</f>
        <v/>
      </c>
      <c r="O77" s="92">
        <f>IF($A77="",NA(),G77)</f>
        <v/>
      </c>
      <c r="P77" s="92">
        <f>IF($A77="",NA(),F77)</f>
        <v/>
      </c>
    </row>
    <row r="78">
      <c r="A78" s="31" t="n"/>
      <c r="B78" s="37" t="n"/>
      <c r="C78" s="37" t="n"/>
      <c r="D78" s="90">
        <f>IF(K78="","",D77+(A78-A77)/2*(COS(RADIANS(B77))+COS(RADIANS(B78)))*L78)</f>
        <v/>
      </c>
      <c r="E78" s="90">
        <f>IF(D78="","",F78*COS(RADIANS($B$3))+G78*SIN(RADIANS($B$3)))</f>
        <v/>
      </c>
      <c r="F78" s="90">
        <f>IF(K78="","",ROUND(F77+(A78-A77)/2*(SIN(RADIANS(B77))*COS(RADIANS(C77))+SIN(RADIANS(B78))*COS(RADIANS(C78)))*L78,4))</f>
        <v/>
      </c>
      <c r="G78" s="90">
        <f>IF(K78="","",ROUND(G77+(A78-A77)/2*(SIN(RADIANS(B77))*SIN(RADIANS(C77))+SIN(RADIANS(B78))*SIN(RADIANS(C78)))*L78,4))</f>
        <v/>
      </c>
      <c r="H78" s="91">
        <f>IF(K78="","",IF(A78=A77,0,K78*100/(A78-A77)))</f>
        <v/>
      </c>
      <c r="I78" s="92">
        <f>IF(A78="",9.9E+99,A78)</f>
        <v/>
      </c>
      <c r="J78" s="92">
        <f>IF(D78="",0,D78)</f>
        <v/>
      </c>
      <c r="K78" s="92">
        <f>IF(OR(A78="",A77=""),"",DEGREES(ACOS(MIN(1,MAX(-1,COS(RADIANS(B77))*COS(RADIANS(B78))+SIN(RADIANS(B77))*SIN(RADIANS(B78))*COS(RADIANS(C78-C77)))))))</f>
        <v/>
      </c>
      <c r="L78" s="92">
        <f>IF(K78="","",IF(K78=0,1,2/RADIANS(K78)*TAN(RADIANS(K78)/2)))</f>
        <v/>
      </c>
      <c r="M78" s="92">
        <f>IF($A78="",NA(),E78)</f>
        <v/>
      </c>
      <c r="N78" s="92">
        <f>IF($A78="",NA(),D78)</f>
        <v/>
      </c>
      <c r="O78" s="92">
        <f>IF($A78="",NA(),G78)</f>
        <v/>
      </c>
      <c r="P78" s="92">
        <f>IF($A78="",NA(),F78)</f>
        <v/>
      </c>
    </row>
    <row r="79">
      <c r="A79" s="31" t="n"/>
      <c r="B79" s="37" t="n"/>
      <c r="C79" s="37" t="n"/>
      <c r="D79" s="90">
        <f>IF(K79="","",D78+(A79-A78)/2*(COS(RADIANS(B78))+COS(RADIANS(B79)))*L79)</f>
        <v/>
      </c>
      <c r="E79" s="90">
        <f>IF(D79="","",F79*COS(RADIANS($B$3))+G79*SIN(RADIANS($B$3)))</f>
        <v/>
      </c>
      <c r="F79" s="90">
        <f>IF(K79="","",ROUND(F78+(A79-A78)/2*(SIN(RADIANS(B78))*COS(RADIANS(C78))+SIN(RADIANS(B79))*COS(RADIANS(C79)))*L79,4))</f>
        <v/>
      </c>
      <c r="G79" s="90">
        <f>IF(K79="","",ROUND(G78+(A79-A78)/2*(SIN(RADIANS(B78))*SIN(RADIANS(C78))+SIN(RADIANS(B79))*SIN(RADIANS(C79)))*L79,4))</f>
        <v/>
      </c>
      <c r="H79" s="91">
        <f>IF(K79="","",IF(A79=A78,0,K79*100/(A79-A78)))</f>
        <v/>
      </c>
      <c r="I79" s="92">
        <f>IF(A79="",9.9E+99,A79)</f>
        <v/>
      </c>
      <c r="J79" s="92">
        <f>IF(D79="",0,D79)</f>
        <v/>
      </c>
      <c r="K79" s="92">
        <f>IF(OR(A79="",A78=""),"",DEGREES(ACOS(MIN(1,MAX(-1,COS(RADIANS(B78))*COS(RADIANS(B79))+SIN(RADIANS(B78))*SIN(RADIANS(B79))*COS(RADIANS(C79-C78)))))))</f>
        <v/>
      </c>
      <c r="L79" s="92">
        <f>IF(K79="","",IF(K79=0,1,2/RADIANS(K79)*TAN(RADIANS(K79)/2)))</f>
        <v/>
      </c>
      <c r="M79" s="92">
        <f>IF($A79="",NA(),E79)</f>
        <v/>
      </c>
      <c r="N79" s="92">
        <f>IF($A79="",NA(),D79)</f>
        <v/>
      </c>
      <c r="O79" s="92">
        <f>IF($A79="",NA(),G79)</f>
        <v/>
      </c>
      <c r="P79" s="92">
        <f>IF($A79="",NA(),F79)</f>
        <v/>
      </c>
    </row>
    <row r="80">
      <c r="A80" s="31" t="n"/>
      <c r="B80" s="37" t="n"/>
      <c r="C80" s="37" t="n"/>
      <c r="D80" s="90">
        <f>IF(K80="","",D79+(A80-A79)/2*(COS(RADIANS(B79))+COS(RADIANS(B80)))*L80)</f>
        <v/>
      </c>
      <c r="E80" s="90">
        <f>IF(D80="","",F80*COS(RADIANS($B$3))+G80*SIN(RADIANS($B$3)))</f>
        <v/>
      </c>
      <c r="F80" s="90">
        <f>IF(K80="","",ROUND(F79+(A80-A79)/2*(SIN(RADIANS(B79))*COS(RADIANS(C79))+SIN(RADIANS(B80))*COS(RADIANS(C80)))*L80,4))</f>
        <v/>
      </c>
      <c r="G80" s="90">
        <f>IF(K80="","",ROUND(G79+(A80-A79)/2*(SIN(RADIANS(B79))*SIN(RADIANS(C79))+SIN(RADIANS(B80))*SIN(RADIANS(C80)))*L80,4))</f>
        <v/>
      </c>
      <c r="H80" s="91">
        <f>IF(K80="","",IF(A80=A79,0,K80*100/(A80-A79)))</f>
        <v/>
      </c>
      <c r="I80" s="92">
        <f>IF(A80="",9.9E+99,A80)</f>
        <v/>
      </c>
      <c r="J80" s="92">
        <f>IF(D80="",0,D80)</f>
        <v/>
      </c>
      <c r="K80" s="92">
        <f>IF(OR(A80="",A79=""),"",DEGREES(ACOS(MIN(1,MAX(-1,COS(RADIANS(B79))*COS(RADIANS(B80))+SIN(RADIANS(B79))*SIN(RADIANS(B80))*COS(RADIANS(C80-C79)))))))</f>
        <v/>
      </c>
      <c r="L80" s="92">
        <f>IF(K80="","",IF(K80=0,1,2/RADIANS(K80)*TAN(RADIANS(K80)/2)))</f>
        <v/>
      </c>
      <c r="M80" s="92">
        <f>IF($A80="",NA(),E80)</f>
        <v/>
      </c>
      <c r="N80" s="92">
        <f>IF($A80="",NA(),D80)</f>
        <v/>
      </c>
      <c r="O80" s="92">
        <f>IF($A80="",NA(),G80)</f>
        <v/>
      </c>
      <c r="P80" s="92">
        <f>IF($A80="",NA(),F80)</f>
        <v/>
      </c>
    </row>
    <row r="81">
      <c r="A81" s="31" t="n"/>
      <c r="B81" s="37" t="n"/>
      <c r="C81" s="37" t="n"/>
      <c r="D81" s="90">
        <f>IF(K81="","",D80+(A81-A80)/2*(COS(RADIANS(B80))+COS(RADIANS(B81)))*L81)</f>
        <v/>
      </c>
      <c r="E81" s="90">
        <f>IF(D81="","",F81*COS(RADIANS($B$3))+G81*SIN(RADIANS($B$3)))</f>
        <v/>
      </c>
      <c r="F81" s="90">
        <f>IF(K81="","",ROUND(F80+(A81-A80)/2*(SIN(RADIANS(B80))*COS(RADIANS(C80))+SIN(RADIANS(B81))*COS(RADIANS(C81)))*L81,4))</f>
        <v/>
      </c>
      <c r="G81" s="90">
        <f>IF(K81="","",ROUND(G80+(A81-A80)/2*(SIN(RADIANS(B80))*SIN(RADIANS(C80))+SIN(RADIANS(B81))*SIN(RADIANS(C81)))*L81,4))</f>
        <v/>
      </c>
      <c r="H81" s="91">
        <f>IF(K81="","",IF(A81=A80,0,K81*100/(A81-A80)))</f>
        <v/>
      </c>
      <c r="I81" s="92">
        <f>IF(A81="",9.9E+99,A81)</f>
        <v/>
      </c>
      <c r="J81" s="92">
        <f>IF(D81="",0,D81)</f>
        <v/>
      </c>
      <c r="K81" s="92">
        <f>IF(OR(A81="",A80=""),"",DEGREES(ACOS(MIN(1,MAX(-1,COS(RADIANS(B80))*COS(RADIANS(B81))+SIN(RADIANS(B80))*SIN(RADIANS(B81))*COS(RADIANS(C81-C80)))))))</f>
        <v/>
      </c>
      <c r="L81" s="92">
        <f>IF(K81="","",IF(K81=0,1,2/RADIANS(K81)*TAN(RADIANS(K81)/2)))</f>
        <v/>
      </c>
      <c r="M81" s="92">
        <f>IF($A81="",NA(),E81)</f>
        <v/>
      </c>
      <c r="N81" s="92">
        <f>IF($A81="",NA(),D81)</f>
        <v/>
      </c>
      <c r="O81" s="92">
        <f>IF($A81="",NA(),G81)</f>
        <v/>
      </c>
      <c r="P81" s="92">
        <f>IF($A81="",NA(),F81)</f>
        <v/>
      </c>
    </row>
    <row r="82">
      <c r="A82" s="31" t="n"/>
      <c r="B82" s="37" t="n"/>
      <c r="C82" s="37" t="n"/>
      <c r="D82" s="90">
        <f>IF(K82="","",D81+(A82-A81)/2*(COS(RADIANS(B81))+COS(RADIANS(B82)))*L82)</f>
        <v/>
      </c>
      <c r="E82" s="90">
        <f>IF(D82="","",F82*COS(RADIANS($B$3))+G82*SIN(RADIANS($B$3)))</f>
        <v/>
      </c>
      <c r="F82" s="90">
        <f>IF(K82="","",ROUND(F81+(A82-A81)/2*(SIN(RADIANS(B81))*COS(RADIANS(C81))+SIN(RADIANS(B82))*COS(RADIANS(C82)))*L82,4))</f>
        <v/>
      </c>
      <c r="G82" s="90">
        <f>IF(K82="","",ROUND(G81+(A82-A81)/2*(SIN(RADIANS(B81))*SIN(RADIANS(C81))+SIN(RADIANS(B82))*SIN(RADIANS(C82)))*L82,4))</f>
        <v/>
      </c>
      <c r="H82" s="91">
        <f>IF(K82="","",IF(A82=A81,0,K82*100/(A82-A81)))</f>
        <v/>
      </c>
      <c r="I82" s="92">
        <f>IF(A82="",9.9E+99,A82)</f>
        <v/>
      </c>
      <c r="J82" s="92">
        <f>IF(D82="",0,D82)</f>
        <v/>
      </c>
      <c r="K82" s="92">
        <f>IF(OR(A82="",A81=""),"",DEGREES(ACOS(MIN(1,MAX(-1,COS(RADIANS(B81))*COS(RADIANS(B82))+SIN(RADIANS(B81))*SIN(RADIANS(B82))*COS(RADIANS(C82-C81)))))))</f>
        <v/>
      </c>
      <c r="L82" s="92">
        <f>IF(K82="","",IF(K82=0,1,2/RADIANS(K82)*TAN(RADIANS(K82)/2)))</f>
        <v/>
      </c>
      <c r="M82" s="92">
        <f>IF($A82="",NA(),E82)</f>
        <v/>
      </c>
      <c r="N82" s="92">
        <f>IF($A82="",NA(),D82)</f>
        <v/>
      </c>
      <c r="O82" s="92">
        <f>IF($A82="",NA(),G82)</f>
        <v/>
      </c>
      <c r="P82" s="92">
        <f>IF($A82="",NA(),F82)</f>
        <v/>
      </c>
    </row>
    <row r="83">
      <c r="A83" s="31" t="n"/>
      <c r="B83" s="37" t="n"/>
      <c r="C83" s="37" t="n"/>
      <c r="D83" s="90">
        <f>IF(K83="","",D82+(A83-A82)/2*(COS(RADIANS(B82))+COS(RADIANS(B83)))*L83)</f>
        <v/>
      </c>
      <c r="E83" s="90">
        <f>IF(D83="","",F83*COS(RADIANS($B$3))+G83*SIN(RADIANS($B$3)))</f>
        <v/>
      </c>
      <c r="F83" s="90">
        <f>IF(K83="","",ROUND(F82+(A83-A82)/2*(SIN(RADIANS(B82))*COS(RADIANS(C82))+SIN(RADIANS(B83))*COS(RADIANS(C83)))*L83,4))</f>
        <v/>
      </c>
      <c r="G83" s="90">
        <f>IF(K83="","",ROUND(G82+(A83-A82)/2*(SIN(RADIANS(B82))*SIN(RADIANS(C82))+SIN(RADIANS(B83))*SIN(RADIANS(C83)))*L83,4))</f>
        <v/>
      </c>
      <c r="H83" s="91">
        <f>IF(K83="","",IF(A83=A82,0,K83*100/(A83-A82)))</f>
        <v/>
      </c>
      <c r="I83" s="92">
        <f>IF(A83="",9.9E+99,A83)</f>
        <v/>
      </c>
      <c r="J83" s="92">
        <f>IF(D83="",0,D83)</f>
        <v/>
      </c>
      <c r="K83" s="92">
        <f>IF(OR(A83="",A82=""),"",DEGREES(ACOS(MIN(1,MAX(-1,COS(RADIANS(B82))*COS(RADIANS(B83))+SIN(RADIANS(B82))*SIN(RADIANS(B83))*COS(RADIANS(C83-C82)))))))</f>
        <v/>
      </c>
      <c r="L83" s="92">
        <f>IF(K83="","",IF(K83=0,1,2/RADIANS(K83)*TAN(RADIANS(K83)/2)))</f>
        <v/>
      </c>
      <c r="M83" s="92">
        <f>IF($A83="",NA(),E83)</f>
        <v/>
      </c>
      <c r="N83" s="92">
        <f>IF($A83="",NA(),D83)</f>
        <v/>
      </c>
      <c r="O83" s="92">
        <f>IF($A83="",NA(),G83)</f>
        <v/>
      </c>
      <c r="P83" s="92">
        <f>IF($A83="",NA(),F83)</f>
        <v/>
      </c>
    </row>
    <row r="84">
      <c r="A84" s="31" t="n"/>
      <c r="B84" s="37" t="n"/>
      <c r="C84" s="37" t="n"/>
      <c r="D84" s="90">
        <f>IF(K84="","",D83+(A84-A83)/2*(COS(RADIANS(B83))+COS(RADIANS(B84)))*L84)</f>
        <v/>
      </c>
      <c r="E84" s="90">
        <f>IF(D84="","",F84*COS(RADIANS($B$3))+G84*SIN(RADIANS($B$3)))</f>
        <v/>
      </c>
      <c r="F84" s="90">
        <f>IF(K84="","",ROUND(F83+(A84-A83)/2*(SIN(RADIANS(B83))*COS(RADIANS(C83))+SIN(RADIANS(B84))*COS(RADIANS(C84)))*L84,4))</f>
        <v/>
      </c>
      <c r="G84" s="90">
        <f>IF(K84="","",ROUND(G83+(A84-A83)/2*(SIN(RADIANS(B83))*SIN(RADIANS(C83))+SIN(RADIANS(B84))*SIN(RADIANS(C84)))*L84,4))</f>
        <v/>
      </c>
      <c r="H84" s="91">
        <f>IF(K84="","",IF(A84=A83,0,K84*100/(A84-A83)))</f>
        <v/>
      </c>
      <c r="I84" s="92">
        <f>IF(A84="",9.9E+99,A84)</f>
        <v/>
      </c>
      <c r="J84" s="92">
        <f>IF(D84="",0,D84)</f>
        <v/>
      </c>
      <c r="K84" s="92">
        <f>IF(OR(A84="",A83=""),"",DEGREES(ACOS(MIN(1,MAX(-1,COS(RADIANS(B83))*COS(RADIANS(B84))+SIN(RADIANS(B83))*SIN(RADIANS(B84))*COS(RADIANS(C84-C83)))))))</f>
        <v/>
      </c>
      <c r="L84" s="92">
        <f>IF(K84="","",IF(K84=0,1,2/RADIANS(K84)*TAN(RADIANS(K84)/2)))</f>
        <v/>
      </c>
      <c r="M84" s="92">
        <f>IF($A84="",NA(),E84)</f>
        <v/>
      </c>
      <c r="N84" s="92">
        <f>IF($A84="",NA(),D84)</f>
        <v/>
      </c>
      <c r="O84" s="92">
        <f>IF($A84="",NA(),G84)</f>
        <v/>
      </c>
      <c r="P84" s="92">
        <f>IF($A84="",NA(),F84)</f>
        <v/>
      </c>
    </row>
    <row r="85">
      <c r="A85" s="31" t="n"/>
      <c r="B85" s="37" t="n"/>
      <c r="C85" s="37" t="n"/>
      <c r="D85" s="90">
        <f>IF(K85="","",D84+(A85-A84)/2*(COS(RADIANS(B84))+COS(RADIANS(B85)))*L85)</f>
        <v/>
      </c>
      <c r="E85" s="90">
        <f>IF(D85="","",F85*COS(RADIANS($B$3))+G85*SIN(RADIANS($B$3)))</f>
        <v/>
      </c>
      <c r="F85" s="90">
        <f>IF(K85="","",ROUND(F84+(A85-A84)/2*(SIN(RADIANS(B84))*COS(RADIANS(C84))+SIN(RADIANS(B85))*COS(RADIANS(C85)))*L85,4))</f>
        <v/>
      </c>
      <c r="G85" s="90">
        <f>IF(K85="","",ROUND(G84+(A85-A84)/2*(SIN(RADIANS(B84))*SIN(RADIANS(C84))+SIN(RADIANS(B85))*SIN(RADIANS(C85)))*L85,4))</f>
        <v/>
      </c>
      <c r="H85" s="91">
        <f>IF(K85="","",IF(A85=A84,0,K85*100/(A85-A84)))</f>
        <v/>
      </c>
      <c r="I85" s="92">
        <f>IF(A85="",9.9E+99,A85)</f>
        <v/>
      </c>
      <c r="J85" s="92">
        <f>IF(D85="",0,D85)</f>
        <v/>
      </c>
      <c r="K85" s="92">
        <f>IF(OR(A85="",A84=""),"",DEGREES(ACOS(MIN(1,MAX(-1,COS(RADIANS(B84))*COS(RADIANS(B85))+SIN(RADIANS(B84))*SIN(RADIANS(B85))*COS(RADIANS(C85-C84)))))))</f>
        <v/>
      </c>
      <c r="L85" s="92">
        <f>IF(K85="","",IF(K85=0,1,2/RADIANS(K85)*TAN(RADIANS(K85)/2)))</f>
        <v/>
      </c>
      <c r="M85" s="92">
        <f>IF($A85="",NA(),E85)</f>
        <v/>
      </c>
      <c r="N85" s="92">
        <f>IF($A85="",NA(),D85)</f>
        <v/>
      </c>
      <c r="O85" s="92">
        <f>IF($A85="",NA(),G85)</f>
        <v/>
      </c>
      <c r="P85" s="92">
        <f>IF($A85="",NA(),F85)</f>
        <v/>
      </c>
    </row>
    <row r="86">
      <c r="A86" s="31" t="n"/>
      <c r="B86" s="37" t="n"/>
      <c r="C86" s="37" t="n"/>
      <c r="D86" s="90">
        <f>IF(K86="","",D85+(A86-A85)/2*(COS(RADIANS(B85))+COS(RADIANS(B86)))*L86)</f>
        <v/>
      </c>
      <c r="E86" s="90">
        <f>IF(D86="","",F86*COS(RADIANS($B$3))+G86*SIN(RADIANS($B$3)))</f>
        <v/>
      </c>
      <c r="F86" s="90">
        <f>IF(K86="","",ROUND(F85+(A86-A85)/2*(SIN(RADIANS(B85))*COS(RADIANS(C85))+SIN(RADIANS(B86))*COS(RADIANS(C86)))*L86,4))</f>
        <v/>
      </c>
      <c r="G86" s="90">
        <f>IF(K86="","",ROUND(G85+(A86-A85)/2*(SIN(RADIANS(B85))*SIN(RADIANS(C85))+SIN(RADIANS(B86))*SIN(RADIANS(C86)))*L86,4))</f>
        <v/>
      </c>
      <c r="H86" s="91">
        <f>IF(K86="","",IF(A86=A85,0,K86*100/(A86-A85)))</f>
        <v/>
      </c>
      <c r="I86" s="92">
        <f>IF(A86="",9.9E+99,A86)</f>
        <v/>
      </c>
      <c r="J86" s="92">
        <f>IF(D86="",0,D86)</f>
        <v/>
      </c>
      <c r="K86" s="92">
        <f>IF(OR(A86="",A85=""),"",DEGREES(ACOS(MIN(1,MAX(-1,COS(RADIANS(B85))*COS(RADIANS(B86))+SIN(RADIANS(B85))*SIN(RADIANS(B86))*COS(RADIANS(C86-C85)))))))</f>
        <v/>
      </c>
      <c r="L86" s="92">
        <f>IF(K86="","",IF(K86=0,1,2/RADIANS(K86)*TAN(RADIANS(K86)/2)))</f>
        <v/>
      </c>
      <c r="M86" s="92">
        <f>IF($A86="",NA(),E86)</f>
        <v/>
      </c>
      <c r="N86" s="92">
        <f>IF($A86="",NA(),D86)</f>
        <v/>
      </c>
      <c r="O86" s="92">
        <f>IF($A86="",NA(),G86)</f>
        <v/>
      </c>
      <c r="P86" s="92">
        <f>IF($A86="",NA(),F86)</f>
        <v/>
      </c>
    </row>
    <row r="87">
      <c r="A87" s="31" t="n"/>
      <c r="B87" s="37" t="n"/>
      <c r="C87" s="37" t="n"/>
      <c r="D87" s="90">
        <f>IF(K87="","",D86+(A87-A86)/2*(COS(RADIANS(B86))+COS(RADIANS(B87)))*L87)</f>
        <v/>
      </c>
      <c r="E87" s="90">
        <f>IF(D87="","",F87*COS(RADIANS($B$3))+G87*SIN(RADIANS($B$3)))</f>
        <v/>
      </c>
      <c r="F87" s="90">
        <f>IF(K87="","",ROUND(F86+(A87-A86)/2*(SIN(RADIANS(B86))*COS(RADIANS(C86))+SIN(RADIANS(B87))*COS(RADIANS(C87)))*L87,4))</f>
        <v/>
      </c>
      <c r="G87" s="90">
        <f>IF(K87="","",ROUND(G86+(A87-A86)/2*(SIN(RADIANS(B86))*SIN(RADIANS(C86))+SIN(RADIANS(B87))*SIN(RADIANS(C87)))*L87,4))</f>
        <v/>
      </c>
      <c r="H87" s="91">
        <f>IF(K87="","",IF(A87=A86,0,K87*100/(A87-A86)))</f>
        <v/>
      </c>
      <c r="I87" s="92">
        <f>IF(A87="",9.9E+99,A87)</f>
        <v/>
      </c>
      <c r="J87" s="92">
        <f>IF(D87="",0,D87)</f>
        <v/>
      </c>
      <c r="K87" s="92">
        <f>IF(OR(A87="",A86=""),"",DEGREES(ACOS(MIN(1,MAX(-1,COS(RADIANS(B86))*COS(RADIANS(B87))+SIN(RADIANS(B86))*SIN(RADIANS(B87))*COS(RADIANS(C87-C86)))))))</f>
        <v/>
      </c>
      <c r="L87" s="92">
        <f>IF(K87="","",IF(K87=0,1,2/RADIANS(K87)*TAN(RADIANS(K87)/2)))</f>
        <v/>
      </c>
      <c r="M87" s="92">
        <f>IF($A87="",NA(),E87)</f>
        <v/>
      </c>
      <c r="N87" s="92">
        <f>IF($A87="",NA(),D87)</f>
        <v/>
      </c>
      <c r="O87" s="92">
        <f>IF($A87="",NA(),G87)</f>
        <v/>
      </c>
      <c r="P87" s="92">
        <f>IF($A87="",NA(),F87)</f>
        <v/>
      </c>
    </row>
    <row r="88">
      <c r="A88" s="31" t="n"/>
      <c r="B88" s="37" t="n"/>
      <c r="C88" s="37" t="n"/>
      <c r="D88" s="90">
        <f>IF(K88="","",D87+(A88-A87)/2*(COS(RADIANS(B87))+COS(RADIANS(B88)))*L88)</f>
        <v/>
      </c>
      <c r="E88" s="90">
        <f>IF(D88="","",F88*COS(RADIANS($B$3))+G88*SIN(RADIANS($B$3)))</f>
        <v/>
      </c>
      <c r="F88" s="90">
        <f>IF(K88="","",ROUND(F87+(A88-A87)/2*(SIN(RADIANS(B87))*COS(RADIANS(C87))+SIN(RADIANS(B88))*COS(RADIANS(C88)))*L88,4))</f>
        <v/>
      </c>
      <c r="G88" s="90">
        <f>IF(K88="","",ROUND(G87+(A88-A87)/2*(SIN(RADIANS(B87))*SIN(RADIANS(C87))+SIN(RADIANS(B88))*SIN(RADIANS(C88)))*L88,4))</f>
        <v/>
      </c>
      <c r="H88" s="91">
        <f>IF(K88="","",IF(A88=A87,0,K88*100/(A88-A87)))</f>
        <v/>
      </c>
      <c r="I88" s="92">
        <f>IF(A88="",9.9E+99,A88)</f>
        <v/>
      </c>
      <c r="J88" s="92">
        <f>IF(D88="",0,D88)</f>
        <v/>
      </c>
      <c r="K88" s="92">
        <f>IF(OR(A88="",A87=""),"",DEGREES(ACOS(MIN(1,MAX(-1,COS(RADIANS(B87))*COS(RADIANS(B88))+SIN(RADIANS(B87))*SIN(RADIANS(B88))*COS(RADIANS(C88-C87)))))))</f>
        <v/>
      </c>
      <c r="L88" s="92">
        <f>IF(K88="","",IF(K88=0,1,2/RADIANS(K88)*TAN(RADIANS(K88)/2)))</f>
        <v/>
      </c>
      <c r="M88" s="92">
        <f>IF($A88="",NA(),E88)</f>
        <v/>
      </c>
      <c r="N88" s="92">
        <f>IF($A88="",NA(),D88)</f>
        <v/>
      </c>
      <c r="O88" s="92">
        <f>IF($A88="",NA(),G88)</f>
        <v/>
      </c>
      <c r="P88" s="92">
        <f>IF($A88="",NA(),F88)</f>
        <v/>
      </c>
    </row>
    <row r="89">
      <c r="A89" s="31" t="n"/>
      <c r="B89" s="37" t="n"/>
      <c r="C89" s="37" t="n"/>
      <c r="D89" s="90">
        <f>IF(K89="","",D88+(A89-A88)/2*(COS(RADIANS(B88))+COS(RADIANS(B89)))*L89)</f>
        <v/>
      </c>
      <c r="E89" s="90">
        <f>IF(D89="","",F89*COS(RADIANS($B$3))+G89*SIN(RADIANS($B$3)))</f>
        <v/>
      </c>
      <c r="F89" s="90">
        <f>IF(K89="","",ROUND(F88+(A89-A88)/2*(SIN(RADIANS(B88))*COS(RADIANS(C88))+SIN(RADIANS(B89))*COS(RADIANS(C89)))*L89,4))</f>
        <v/>
      </c>
      <c r="G89" s="90">
        <f>IF(K89="","",ROUND(G88+(A89-A88)/2*(SIN(RADIANS(B88))*SIN(RADIANS(C88))+SIN(RADIANS(B89))*SIN(RADIANS(C89)))*L89,4))</f>
        <v/>
      </c>
      <c r="H89" s="91">
        <f>IF(K89="","",IF(A89=A88,0,K89*100/(A89-A88)))</f>
        <v/>
      </c>
      <c r="I89" s="92">
        <f>IF(A89="",9.9E+99,A89)</f>
        <v/>
      </c>
      <c r="J89" s="92">
        <f>IF(D89="",0,D89)</f>
        <v/>
      </c>
      <c r="K89" s="92">
        <f>IF(OR(A89="",A88=""),"",DEGREES(ACOS(MIN(1,MAX(-1,COS(RADIANS(B88))*COS(RADIANS(B89))+SIN(RADIANS(B88))*SIN(RADIANS(B89))*COS(RADIANS(C89-C88)))))))</f>
        <v/>
      </c>
      <c r="L89" s="92">
        <f>IF(K89="","",IF(K89=0,1,2/RADIANS(K89)*TAN(RADIANS(K89)/2)))</f>
        <v/>
      </c>
      <c r="M89" s="92">
        <f>IF($A89="",NA(),E89)</f>
        <v/>
      </c>
      <c r="N89" s="92">
        <f>IF($A89="",NA(),D89)</f>
        <v/>
      </c>
      <c r="O89" s="92">
        <f>IF($A89="",NA(),G89)</f>
        <v/>
      </c>
      <c r="P89" s="92">
        <f>IF($A89="",NA(),F89)</f>
        <v/>
      </c>
    </row>
    <row r="90">
      <c r="A90" s="31" t="n"/>
      <c r="B90" s="37" t="n"/>
      <c r="C90" s="37" t="n"/>
      <c r="D90" s="90">
        <f>IF(K90="","",D89+(A90-A89)/2*(COS(RADIANS(B89))+COS(RADIANS(B90)))*L90)</f>
        <v/>
      </c>
      <c r="E90" s="90">
        <f>IF(D90="","",F90*COS(RADIANS($B$3))+G90*SIN(RADIANS($B$3)))</f>
        <v/>
      </c>
      <c r="F90" s="90">
        <f>IF(K90="","",ROUND(F89+(A90-A89)/2*(SIN(RADIANS(B89))*COS(RADIANS(C89))+SIN(RADIANS(B90))*COS(RADIANS(C90)))*L90,4))</f>
        <v/>
      </c>
      <c r="G90" s="90">
        <f>IF(K90="","",ROUND(G89+(A90-A89)/2*(SIN(RADIANS(B89))*SIN(RADIANS(C89))+SIN(RADIANS(B90))*SIN(RADIANS(C90)))*L90,4))</f>
        <v/>
      </c>
      <c r="H90" s="91">
        <f>IF(K90="","",IF(A90=A89,0,K90*100/(A90-A89)))</f>
        <v/>
      </c>
      <c r="I90" s="92">
        <f>IF(A90="",9.9E+99,A90)</f>
        <v/>
      </c>
      <c r="J90" s="92">
        <f>IF(D90="",0,D90)</f>
        <v/>
      </c>
      <c r="K90" s="92">
        <f>IF(OR(A90="",A89=""),"",DEGREES(ACOS(MIN(1,MAX(-1,COS(RADIANS(B89))*COS(RADIANS(B90))+SIN(RADIANS(B89))*SIN(RADIANS(B90))*COS(RADIANS(C90-C89)))))))</f>
        <v/>
      </c>
      <c r="L90" s="92">
        <f>IF(K90="","",IF(K90=0,1,2/RADIANS(K90)*TAN(RADIANS(K90)/2)))</f>
        <v/>
      </c>
      <c r="M90" s="92">
        <f>IF($A90="",NA(),E90)</f>
        <v/>
      </c>
      <c r="N90" s="92">
        <f>IF($A90="",NA(),D90)</f>
        <v/>
      </c>
      <c r="O90" s="92">
        <f>IF($A90="",NA(),G90)</f>
        <v/>
      </c>
      <c r="P90" s="92">
        <f>IF($A90="",NA(),F90)</f>
        <v/>
      </c>
    </row>
    <row r="91">
      <c r="A91" s="31" t="n"/>
      <c r="B91" s="37" t="n"/>
      <c r="C91" s="37" t="n"/>
      <c r="D91" s="90">
        <f>IF(K91="","",D90+(A91-A90)/2*(COS(RADIANS(B90))+COS(RADIANS(B91)))*L91)</f>
        <v/>
      </c>
      <c r="E91" s="90">
        <f>IF(D91="","",F91*COS(RADIANS($B$3))+G91*SIN(RADIANS($B$3)))</f>
        <v/>
      </c>
      <c r="F91" s="90">
        <f>IF(K91="","",ROUND(F90+(A91-A90)/2*(SIN(RADIANS(B90))*COS(RADIANS(C90))+SIN(RADIANS(B91))*COS(RADIANS(C91)))*L91,4))</f>
        <v/>
      </c>
      <c r="G91" s="90">
        <f>IF(K91="","",ROUND(G90+(A91-A90)/2*(SIN(RADIANS(B90))*SIN(RADIANS(C90))+SIN(RADIANS(B91))*SIN(RADIANS(C91)))*L91,4))</f>
        <v/>
      </c>
      <c r="H91" s="91">
        <f>IF(K91="","",IF(A91=A90,0,K91*100/(A91-A90)))</f>
        <v/>
      </c>
      <c r="I91" s="92">
        <f>IF(A91="",9.9E+99,A91)</f>
        <v/>
      </c>
      <c r="J91" s="92">
        <f>IF(D91="",0,D91)</f>
        <v/>
      </c>
      <c r="K91" s="92">
        <f>IF(OR(A91="",A90=""),"",DEGREES(ACOS(MIN(1,MAX(-1,COS(RADIANS(B90))*COS(RADIANS(B91))+SIN(RADIANS(B90))*SIN(RADIANS(B91))*COS(RADIANS(C91-C90)))))))</f>
        <v/>
      </c>
      <c r="L91" s="92">
        <f>IF(K91="","",IF(K91=0,1,2/RADIANS(K91)*TAN(RADIANS(K91)/2)))</f>
        <v/>
      </c>
      <c r="M91" s="92">
        <f>IF($A91="",NA(),E91)</f>
        <v/>
      </c>
      <c r="N91" s="92">
        <f>IF($A91="",NA(),D91)</f>
        <v/>
      </c>
      <c r="O91" s="92">
        <f>IF($A91="",NA(),G91)</f>
        <v/>
      </c>
      <c r="P91" s="92">
        <f>IF($A91="",NA(),F91)</f>
        <v/>
      </c>
    </row>
    <row r="92">
      <c r="A92" s="31" t="n"/>
      <c r="B92" s="37" t="n"/>
      <c r="C92" s="37" t="n"/>
      <c r="D92" s="90">
        <f>IF(K92="","",D91+(A92-A91)/2*(COS(RADIANS(B91))+COS(RADIANS(B92)))*L92)</f>
        <v/>
      </c>
      <c r="E92" s="90">
        <f>IF(D92="","",F92*COS(RADIANS($B$3))+G92*SIN(RADIANS($B$3)))</f>
        <v/>
      </c>
      <c r="F92" s="90">
        <f>IF(K92="","",ROUND(F91+(A92-A91)/2*(SIN(RADIANS(B91))*COS(RADIANS(C91))+SIN(RADIANS(B92))*COS(RADIANS(C92)))*L92,4))</f>
        <v/>
      </c>
      <c r="G92" s="90">
        <f>IF(K92="","",ROUND(G91+(A92-A91)/2*(SIN(RADIANS(B91))*SIN(RADIANS(C91))+SIN(RADIANS(B92))*SIN(RADIANS(C92)))*L92,4))</f>
        <v/>
      </c>
      <c r="H92" s="91">
        <f>IF(K92="","",IF(A92=A91,0,K92*100/(A92-A91)))</f>
        <v/>
      </c>
      <c r="I92" s="92">
        <f>IF(A92="",9.9E+99,A92)</f>
        <v/>
      </c>
      <c r="J92" s="92">
        <f>IF(D92="",0,D92)</f>
        <v/>
      </c>
      <c r="K92" s="92">
        <f>IF(OR(A92="",A91=""),"",DEGREES(ACOS(MIN(1,MAX(-1,COS(RADIANS(B91))*COS(RADIANS(B92))+SIN(RADIANS(B91))*SIN(RADIANS(B92))*COS(RADIANS(C92-C91)))))))</f>
        <v/>
      </c>
      <c r="L92" s="92">
        <f>IF(K92="","",IF(K92=0,1,2/RADIANS(K92)*TAN(RADIANS(K92)/2)))</f>
        <v/>
      </c>
      <c r="M92" s="92">
        <f>IF($A92="",NA(),E92)</f>
        <v/>
      </c>
      <c r="N92" s="92">
        <f>IF($A92="",NA(),D92)</f>
        <v/>
      </c>
      <c r="O92" s="92">
        <f>IF($A92="",NA(),G92)</f>
        <v/>
      </c>
      <c r="P92" s="92">
        <f>IF($A92="",NA(),F92)</f>
        <v/>
      </c>
    </row>
    <row r="93">
      <c r="A93" s="31" t="n"/>
      <c r="B93" s="37" t="n"/>
      <c r="C93" s="37" t="n"/>
      <c r="D93" s="90">
        <f>IF(K93="","",D92+(A93-A92)/2*(COS(RADIANS(B92))+COS(RADIANS(B93)))*L93)</f>
        <v/>
      </c>
      <c r="E93" s="90">
        <f>IF(D93="","",F93*COS(RADIANS($B$3))+G93*SIN(RADIANS($B$3)))</f>
        <v/>
      </c>
      <c r="F93" s="90">
        <f>IF(K93="","",ROUND(F92+(A93-A92)/2*(SIN(RADIANS(B92))*COS(RADIANS(C92))+SIN(RADIANS(B93))*COS(RADIANS(C93)))*L93,4))</f>
        <v/>
      </c>
      <c r="G93" s="90">
        <f>IF(K93="","",ROUND(G92+(A93-A92)/2*(SIN(RADIANS(B92))*SIN(RADIANS(C92))+SIN(RADIANS(B93))*SIN(RADIANS(C93)))*L93,4))</f>
        <v/>
      </c>
      <c r="H93" s="91">
        <f>IF(K93="","",IF(A93=A92,0,K93*100/(A93-A92)))</f>
        <v/>
      </c>
      <c r="I93" s="92">
        <f>IF(A93="",9.9E+99,A93)</f>
        <v/>
      </c>
      <c r="J93" s="92">
        <f>IF(D93="",0,D93)</f>
        <v/>
      </c>
      <c r="K93" s="92">
        <f>IF(OR(A93="",A92=""),"",DEGREES(ACOS(MIN(1,MAX(-1,COS(RADIANS(B92))*COS(RADIANS(B93))+SIN(RADIANS(B92))*SIN(RADIANS(B93))*COS(RADIANS(C93-C92)))))))</f>
        <v/>
      </c>
      <c r="L93" s="92">
        <f>IF(K93="","",IF(K93=0,1,2/RADIANS(K93)*TAN(RADIANS(K93)/2)))</f>
        <v/>
      </c>
      <c r="M93" s="92">
        <f>IF($A93="",NA(),E93)</f>
        <v/>
      </c>
      <c r="N93" s="92">
        <f>IF($A93="",NA(),D93)</f>
        <v/>
      </c>
      <c r="O93" s="92">
        <f>IF($A93="",NA(),G93)</f>
        <v/>
      </c>
      <c r="P93" s="92">
        <f>IF($A93="",NA(),F93)</f>
        <v/>
      </c>
    </row>
    <row r="94">
      <c r="A94" s="31" t="n"/>
      <c r="B94" s="37" t="n"/>
      <c r="C94" s="37" t="n"/>
      <c r="D94" s="90">
        <f>IF(K94="","",D93+(A94-A93)/2*(COS(RADIANS(B93))+COS(RADIANS(B94)))*L94)</f>
        <v/>
      </c>
      <c r="E94" s="90">
        <f>IF(D94="","",F94*COS(RADIANS($B$3))+G94*SIN(RADIANS($B$3)))</f>
        <v/>
      </c>
      <c r="F94" s="90">
        <f>IF(K94="","",ROUND(F93+(A94-A93)/2*(SIN(RADIANS(B93))*COS(RADIANS(C93))+SIN(RADIANS(B94))*COS(RADIANS(C94)))*L94,4))</f>
        <v/>
      </c>
      <c r="G94" s="90">
        <f>IF(K94="","",ROUND(G93+(A94-A93)/2*(SIN(RADIANS(B93))*SIN(RADIANS(C93))+SIN(RADIANS(B94))*SIN(RADIANS(C94)))*L94,4))</f>
        <v/>
      </c>
      <c r="H94" s="91">
        <f>IF(K94="","",IF(A94=A93,0,K94*100/(A94-A93)))</f>
        <v/>
      </c>
      <c r="I94" s="92">
        <f>IF(A94="",9.9E+99,A94)</f>
        <v/>
      </c>
      <c r="J94" s="92">
        <f>IF(D94="",0,D94)</f>
        <v/>
      </c>
      <c r="K94" s="92">
        <f>IF(OR(A94="",A93=""),"",DEGREES(ACOS(MIN(1,MAX(-1,COS(RADIANS(B93))*COS(RADIANS(B94))+SIN(RADIANS(B93))*SIN(RADIANS(B94))*COS(RADIANS(C94-C93)))))))</f>
        <v/>
      </c>
      <c r="L94" s="92">
        <f>IF(K94="","",IF(K94=0,1,2/RADIANS(K94)*TAN(RADIANS(K94)/2)))</f>
        <v/>
      </c>
      <c r="M94" s="92">
        <f>IF($A94="",NA(),E94)</f>
        <v/>
      </c>
      <c r="N94" s="92">
        <f>IF($A94="",NA(),D94)</f>
        <v/>
      </c>
      <c r="O94" s="92">
        <f>IF($A94="",NA(),G94)</f>
        <v/>
      </c>
      <c r="P94" s="92">
        <f>IF($A94="",NA(),F94)</f>
        <v/>
      </c>
    </row>
    <row r="95">
      <c r="A95" s="31" t="n"/>
      <c r="B95" s="37" t="n"/>
      <c r="C95" s="37" t="n"/>
      <c r="D95" s="90">
        <f>IF(K95="","",D94+(A95-A94)/2*(COS(RADIANS(B94))+COS(RADIANS(B95)))*L95)</f>
        <v/>
      </c>
      <c r="E95" s="90">
        <f>IF(D95="","",F95*COS(RADIANS($B$3))+G95*SIN(RADIANS($B$3)))</f>
        <v/>
      </c>
      <c r="F95" s="90">
        <f>IF(K95="","",ROUND(F94+(A95-A94)/2*(SIN(RADIANS(B94))*COS(RADIANS(C94))+SIN(RADIANS(B95))*COS(RADIANS(C95)))*L95,4))</f>
        <v/>
      </c>
      <c r="G95" s="90">
        <f>IF(K95="","",ROUND(G94+(A95-A94)/2*(SIN(RADIANS(B94))*SIN(RADIANS(C94))+SIN(RADIANS(B95))*SIN(RADIANS(C95)))*L95,4))</f>
        <v/>
      </c>
      <c r="H95" s="91">
        <f>IF(K95="","",IF(A95=A94,0,K95*100/(A95-A94)))</f>
        <v/>
      </c>
      <c r="I95" s="92">
        <f>IF(A95="",9.9E+99,A95)</f>
        <v/>
      </c>
      <c r="J95" s="92">
        <f>IF(D95="",0,D95)</f>
        <v/>
      </c>
      <c r="K95" s="92">
        <f>IF(OR(A95="",A94=""),"",DEGREES(ACOS(MIN(1,MAX(-1,COS(RADIANS(B94))*COS(RADIANS(B95))+SIN(RADIANS(B94))*SIN(RADIANS(B95))*COS(RADIANS(C95-C94)))))))</f>
        <v/>
      </c>
      <c r="L95" s="92">
        <f>IF(K95="","",IF(K95=0,1,2/RADIANS(K95)*TAN(RADIANS(K95)/2)))</f>
        <v/>
      </c>
      <c r="M95" s="92">
        <f>IF($A95="",NA(),E95)</f>
        <v/>
      </c>
      <c r="N95" s="92">
        <f>IF($A95="",NA(),D95)</f>
        <v/>
      </c>
      <c r="O95" s="92">
        <f>IF($A95="",NA(),G95)</f>
        <v/>
      </c>
      <c r="P95" s="92">
        <f>IF($A95="",NA(),F95)</f>
        <v/>
      </c>
    </row>
    <row r="96">
      <c r="A96" s="31" t="n"/>
      <c r="B96" s="37" t="n"/>
      <c r="C96" s="37" t="n"/>
      <c r="D96" s="90">
        <f>IF(K96="","",D95+(A96-A95)/2*(COS(RADIANS(B95))+COS(RADIANS(B96)))*L96)</f>
        <v/>
      </c>
      <c r="E96" s="90">
        <f>IF(D96="","",F96*COS(RADIANS($B$3))+G96*SIN(RADIANS($B$3)))</f>
        <v/>
      </c>
      <c r="F96" s="90">
        <f>IF(K96="","",ROUND(F95+(A96-A95)/2*(SIN(RADIANS(B95))*COS(RADIANS(C95))+SIN(RADIANS(B96))*COS(RADIANS(C96)))*L96,4))</f>
        <v/>
      </c>
      <c r="G96" s="90">
        <f>IF(K96="","",ROUND(G95+(A96-A95)/2*(SIN(RADIANS(B95))*SIN(RADIANS(C95))+SIN(RADIANS(B96))*SIN(RADIANS(C96)))*L96,4))</f>
        <v/>
      </c>
      <c r="H96" s="91">
        <f>IF(K96="","",IF(A96=A95,0,K96*100/(A96-A95)))</f>
        <v/>
      </c>
      <c r="I96" s="92">
        <f>IF(A96="",9.9E+99,A96)</f>
        <v/>
      </c>
      <c r="J96" s="92">
        <f>IF(D96="",0,D96)</f>
        <v/>
      </c>
      <c r="K96" s="92">
        <f>IF(OR(A96="",A95=""),"",DEGREES(ACOS(MIN(1,MAX(-1,COS(RADIANS(B95))*COS(RADIANS(B96))+SIN(RADIANS(B95))*SIN(RADIANS(B96))*COS(RADIANS(C96-C95)))))))</f>
        <v/>
      </c>
      <c r="L96" s="92">
        <f>IF(K96="","",IF(K96=0,1,2/RADIANS(K96)*TAN(RADIANS(K96)/2)))</f>
        <v/>
      </c>
      <c r="M96" s="92">
        <f>IF($A96="",NA(),E96)</f>
        <v/>
      </c>
      <c r="N96" s="92">
        <f>IF($A96="",NA(),D96)</f>
        <v/>
      </c>
      <c r="O96" s="92">
        <f>IF($A96="",NA(),G96)</f>
        <v/>
      </c>
      <c r="P96" s="92">
        <f>IF($A96="",NA(),F96)</f>
        <v/>
      </c>
    </row>
    <row r="97">
      <c r="A97" s="31" t="n"/>
      <c r="B97" s="37" t="n"/>
      <c r="C97" s="37" t="n"/>
      <c r="D97" s="90">
        <f>IF(K97="","",D96+(A97-A96)/2*(COS(RADIANS(B96))+COS(RADIANS(B97)))*L97)</f>
        <v/>
      </c>
      <c r="E97" s="90">
        <f>IF(D97="","",F97*COS(RADIANS($B$3))+G97*SIN(RADIANS($B$3)))</f>
        <v/>
      </c>
      <c r="F97" s="90">
        <f>IF(K97="","",ROUND(F96+(A97-A96)/2*(SIN(RADIANS(B96))*COS(RADIANS(C96))+SIN(RADIANS(B97))*COS(RADIANS(C97)))*L97,4))</f>
        <v/>
      </c>
      <c r="G97" s="90">
        <f>IF(K97="","",ROUND(G96+(A97-A96)/2*(SIN(RADIANS(B96))*SIN(RADIANS(C96))+SIN(RADIANS(B97))*SIN(RADIANS(C97)))*L97,4))</f>
        <v/>
      </c>
      <c r="H97" s="91">
        <f>IF(K97="","",IF(A97=A96,0,K97*100/(A97-A96)))</f>
        <v/>
      </c>
      <c r="I97" s="92">
        <f>IF(A97="",9.9E+99,A97)</f>
        <v/>
      </c>
      <c r="J97" s="92">
        <f>IF(D97="",0,D97)</f>
        <v/>
      </c>
      <c r="K97" s="92">
        <f>IF(OR(A97="",A96=""),"",DEGREES(ACOS(MIN(1,MAX(-1,COS(RADIANS(B96))*COS(RADIANS(B97))+SIN(RADIANS(B96))*SIN(RADIANS(B97))*COS(RADIANS(C97-C96)))))))</f>
        <v/>
      </c>
      <c r="L97" s="92">
        <f>IF(K97="","",IF(K97=0,1,2/RADIANS(K97)*TAN(RADIANS(K97)/2)))</f>
        <v/>
      </c>
      <c r="M97" s="92">
        <f>IF($A97="",NA(),E97)</f>
        <v/>
      </c>
      <c r="N97" s="92">
        <f>IF($A97="",NA(),D97)</f>
        <v/>
      </c>
      <c r="O97" s="92">
        <f>IF($A97="",NA(),G97)</f>
        <v/>
      </c>
      <c r="P97" s="92">
        <f>IF($A97="",NA(),F97)</f>
        <v/>
      </c>
    </row>
    <row r="98">
      <c r="A98" s="31" t="n"/>
      <c r="B98" s="37" t="n"/>
      <c r="C98" s="37" t="n"/>
      <c r="D98" s="90">
        <f>IF(K98="","",D97+(A98-A97)/2*(COS(RADIANS(B97))+COS(RADIANS(B98)))*L98)</f>
        <v/>
      </c>
      <c r="E98" s="90">
        <f>IF(D98="","",F98*COS(RADIANS($B$3))+G98*SIN(RADIANS($B$3)))</f>
        <v/>
      </c>
      <c r="F98" s="90">
        <f>IF(K98="","",ROUND(F97+(A98-A97)/2*(SIN(RADIANS(B97))*COS(RADIANS(C97))+SIN(RADIANS(B98))*COS(RADIANS(C98)))*L98,4))</f>
        <v/>
      </c>
      <c r="G98" s="90">
        <f>IF(K98="","",ROUND(G97+(A98-A97)/2*(SIN(RADIANS(B97))*SIN(RADIANS(C97))+SIN(RADIANS(B98))*SIN(RADIANS(C98)))*L98,4))</f>
        <v/>
      </c>
      <c r="H98" s="91">
        <f>IF(K98="","",IF(A98=A97,0,K98*100/(A98-A97)))</f>
        <v/>
      </c>
      <c r="I98" s="92">
        <f>IF(A98="",9.9E+99,A98)</f>
        <v/>
      </c>
      <c r="J98" s="92">
        <f>IF(D98="",0,D98)</f>
        <v/>
      </c>
      <c r="K98" s="92">
        <f>IF(OR(A98="",A97=""),"",DEGREES(ACOS(MIN(1,MAX(-1,COS(RADIANS(B97))*COS(RADIANS(B98))+SIN(RADIANS(B97))*SIN(RADIANS(B98))*COS(RADIANS(C98-C97)))))))</f>
        <v/>
      </c>
      <c r="L98" s="92">
        <f>IF(K98="","",IF(K98=0,1,2/RADIANS(K98)*TAN(RADIANS(K98)/2)))</f>
        <v/>
      </c>
      <c r="M98" s="92">
        <f>IF($A98="",NA(),E98)</f>
        <v/>
      </c>
      <c r="N98" s="92">
        <f>IF($A98="",NA(),D98)</f>
        <v/>
      </c>
      <c r="O98" s="92">
        <f>IF($A98="",NA(),G98)</f>
        <v/>
      </c>
      <c r="P98" s="92">
        <f>IF($A98="",NA(),F98)</f>
        <v/>
      </c>
    </row>
    <row r="99">
      <c r="A99" s="31" t="n"/>
      <c r="B99" s="37" t="n"/>
      <c r="C99" s="37" t="n"/>
      <c r="D99" s="90">
        <f>IF(K99="","",D98+(A99-A98)/2*(COS(RADIANS(B98))+COS(RADIANS(B99)))*L99)</f>
        <v/>
      </c>
      <c r="E99" s="90">
        <f>IF(D99="","",F99*COS(RADIANS($B$3))+G99*SIN(RADIANS($B$3)))</f>
        <v/>
      </c>
      <c r="F99" s="90">
        <f>IF(K99="","",ROUND(F98+(A99-A98)/2*(SIN(RADIANS(B98))*COS(RADIANS(C98))+SIN(RADIANS(B99))*COS(RADIANS(C99)))*L99,4))</f>
        <v/>
      </c>
      <c r="G99" s="90">
        <f>IF(K99="","",ROUND(G98+(A99-A98)/2*(SIN(RADIANS(B98))*SIN(RADIANS(C98))+SIN(RADIANS(B99))*SIN(RADIANS(C99)))*L99,4))</f>
        <v/>
      </c>
      <c r="H99" s="91">
        <f>IF(K99="","",IF(A99=A98,0,K99*100/(A99-A98)))</f>
        <v/>
      </c>
      <c r="I99" s="92">
        <f>IF(A99="",9.9E+99,A99)</f>
        <v/>
      </c>
      <c r="J99" s="92">
        <f>IF(D99="",0,D99)</f>
        <v/>
      </c>
      <c r="K99" s="92">
        <f>IF(OR(A99="",A98=""),"",DEGREES(ACOS(MIN(1,MAX(-1,COS(RADIANS(B98))*COS(RADIANS(B99))+SIN(RADIANS(B98))*SIN(RADIANS(B99))*COS(RADIANS(C99-C98)))))))</f>
        <v/>
      </c>
      <c r="L99" s="92">
        <f>IF(K99="","",IF(K99=0,1,2/RADIANS(K99)*TAN(RADIANS(K99)/2)))</f>
        <v/>
      </c>
      <c r="M99" s="92">
        <f>IF($A99="",NA(),E99)</f>
        <v/>
      </c>
      <c r="N99" s="92">
        <f>IF($A99="",NA(),D99)</f>
        <v/>
      </c>
      <c r="O99" s="92">
        <f>IF($A99="",NA(),G99)</f>
        <v/>
      </c>
      <c r="P99" s="92">
        <f>IF($A99="",NA(),F99)</f>
        <v/>
      </c>
    </row>
    <row r="100">
      <c r="A100" s="31" t="n"/>
      <c r="B100" s="37" t="n"/>
      <c r="C100" s="37" t="n"/>
      <c r="D100" s="90">
        <f>IF(K100="","",D99+(A100-A99)/2*(COS(RADIANS(B99))+COS(RADIANS(B100)))*L100)</f>
        <v/>
      </c>
      <c r="E100" s="90">
        <f>IF(D100="","",F100*COS(RADIANS($B$3))+G100*SIN(RADIANS($B$3)))</f>
        <v/>
      </c>
      <c r="F100" s="90">
        <f>IF(K100="","",ROUND(F99+(A100-A99)/2*(SIN(RADIANS(B99))*COS(RADIANS(C99))+SIN(RADIANS(B100))*COS(RADIANS(C100)))*L100,4))</f>
        <v/>
      </c>
      <c r="G100" s="90">
        <f>IF(K100="","",ROUND(G99+(A100-A99)/2*(SIN(RADIANS(B99))*SIN(RADIANS(C99))+SIN(RADIANS(B100))*SIN(RADIANS(C100)))*L100,4))</f>
        <v/>
      </c>
      <c r="H100" s="91">
        <f>IF(K100="","",IF(A100=A99,0,K100*100/(A100-A99)))</f>
        <v/>
      </c>
      <c r="I100" s="92">
        <f>IF(A100="",9.9E+99,A100)</f>
        <v/>
      </c>
      <c r="J100" s="92">
        <f>IF(D100="",0,D100)</f>
        <v/>
      </c>
      <c r="K100" s="92">
        <f>IF(OR(A100="",A99=""),"",DEGREES(ACOS(MIN(1,MAX(-1,COS(RADIANS(B99))*COS(RADIANS(B100))+SIN(RADIANS(B99))*SIN(RADIANS(B100))*COS(RADIANS(C100-C99)))))))</f>
        <v/>
      </c>
      <c r="L100" s="92">
        <f>IF(K100="","",IF(K100=0,1,2/RADIANS(K100)*TAN(RADIANS(K100)/2)))</f>
        <v/>
      </c>
      <c r="M100" s="92">
        <f>IF($A100="",NA(),E100)</f>
        <v/>
      </c>
      <c r="N100" s="92">
        <f>IF($A100="",NA(),D100)</f>
        <v/>
      </c>
      <c r="O100" s="92">
        <f>IF($A100="",NA(),G100)</f>
        <v/>
      </c>
      <c r="P100" s="92">
        <f>IF($A100="",NA(),F100)</f>
        <v/>
      </c>
    </row>
    <row r="101">
      <c r="A101" s="31" t="n"/>
      <c r="B101" s="37" t="n"/>
      <c r="C101" s="37" t="n"/>
      <c r="D101" s="90">
        <f>IF(K101="","",D100+(A101-A100)/2*(COS(RADIANS(B100))+COS(RADIANS(B101)))*L101)</f>
        <v/>
      </c>
      <c r="E101" s="90">
        <f>IF(D101="","",F101*COS(RADIANS($B$3))+G101*SIN(RADIANS($B$3)))</f>
        <v/>
      </c>
      <c r="F101" s="90">
        <f>IF(K101="","",ROUND(F100+(A101-A100)/2*(SIN(RADIANS(B100))*COS(RADIANS(C100))+SIN(RADIANS(B101))*COS(RADIANS(C101)))*L101,4))</f>
        <v/>
      </c>
      <c r="G101" s="90">
        <f>IF(K101="","",ROUND(G100+(A101-A100)/2*(SIN(RADIANS(B100))*SIN(RADIANS(C100))+SIN(RADIANS(B101))*SIN(RADIANS(C101)))*L101,4))</f>
        <v/>
      </c>
      <c r="H101" s="91">
        <f>IF(K101="","",IF(A101=A100,0,K101*100/(A101-A100)))</f>
        <v/>
      </c>
      <c r="I101" s="92">
        <f>IF(A101="",9.9E+99,A101)</f>
        <v/>
      </c>
      <c r="J101" s="92">
        <f>IF(D101="",0,D101)</f>
        <v/>
      </c>
      <c r="K101" s="92">
        <f>IF(OR(A101="",A100=""),"",DEGREES(ACOS(MIN(1,MAX(-1,COS(RADIANS(B100))*COS(RADIANS(B101))+SIN(RADIANS(B100))*SIN(RADIANS(B101))*COS(RADIANS(C101-C100)))))))</f>
        <v/>
      </c>
      <c r="L101" s="92">
        <f>IF(K101="","",IF(K101=0,1,2/RADIANS(K101)*TAN(RADIANS(K101)/2)))</f>
        <v/>
      </c>
      <c r="M101" s="92">
        <f>IF($A101="",NA(),E101)</f>
        <v/>
      </c>
      <c r="N101" s="92">
        <f>IF($A101="",NA(),D101)</f>
        <v/>
      </c>
      <c r="O101" s="92">
        <f>IF($A101="",NA(),G101)</f>
        <v/>
      </c>
      <c r="P101" s="92">
        <f>IF($A101="",NA(),F101)</f>
        <v/>
      </c>
    </row>
    <row r="102">
      <c r="A102" s="31" t="n"/>
      <c r="B102" s="37" t="n"/>
      <c r="C102" s="37" t="n"/>
      <c r="D102" s="90">
        <f>IF(K102="","",D101+(A102-A101)/2*(COS(RADIANS(B101))+COS(RADIANS(B102)))*L102)</f>
        <v/>
      </c>
      <c r="E102" s="90">
        <f>IF(D102="","",F102*COS(RADIANS($B$3))+G102*SIN(RADIANS($B$3)))</f>
        <v/>
      </c>
      <c r="F102" s="90">
        <f>IF(K102="","",ROUND(F101+(A102-A101)/2*(SIN(RADIANS(B101))*COS(RADIANS(C101))+SIN(RADIANS(B102))*COS(RADIANS(C102)))*L102,4))</f>
        <v/>
      </c>
      <c r="G102" s="90">
        <f>IF(K102="","",ROUND(G101+(A102-A101)/2*(SIN(RADIANS(B101))*SIN(RADIANS(C101))+SIN(RADIANS(B102))*SIN(RADIANS(C102)))*L102,4))</f>
        <v/>
      </c>
      <c r="H102" s="91">
        <f>IF(K102="","",IF(A102=A101,0,K102*100/(A102-A101)))</f>
        <v/>
      </c>
      <c r="I102" s="92">
        <f>IF(A102="",9.9E+99,A102)</f>
        <v/>
      </c>
      <c r="J102" s="92">
        <f>IF(D102="",0,D102)</f>
        <v/>
      </c>
      <c r="K102" s="92">
        <f>IF(OR(A102="",A101=""),"",DEGREES(ACOS(MIN(1,MAX(-1,COS(RADIANS(B101))*COS(RADIANS(B102))+SIN(RADIANS(B101))*SIN(RADIANS(B102))*COS(RADIANS(C102-C101)))))))</f>
        <v/>
      </c>
      <c r="L102" s="92">
        <f>IF(K102="","",IF(K102=0,1,2/RADIANS(K102)*TAN(RADIANS(K102)/2)))</f>
        <v/>
      </c>
      <c r="M102" s="92">
        <f>IF($A102="",NA(),E102)</f>
        <v/>
      </c>
      <c r="N102" s="92">
        <f>IF($A102="",NA(),D102)</f>
        <v/>
      </c>
      <c r="O102" s="92">
        <f>IF($A102="",NA(),G102)</f>
        <v/>
      </c>
      <c r="P102" s="92">
        <f>IF($A102="",NA(),F102)</f>
        <v/>
      </c>
    </row>
    <row r="103">
      <c r="A103" s="31" t="n"/>
      <c r="B103" s="37" t="n"/>
      <c r="C103" s="37" t="n"/>
      <c r="D103" s="90">
        <f>IF(K103="","",D102+(A103-A102)/2*(COS(RADIANS(B102))+COS(RADIANS(B103)))*L103)</f>
        <v/>
      </c>
      <c r="E103" s="90">
        <f>IF(D103="","",F103*COS(RADIANS($B$3))+G103*SIN(RADIANS($B$3)))</f>
        <v/>
      </c>
      <c r="F103" s="90">
        <f>IF(K103="","",ROUND(F102+(A103-A102)/2*(SIN(RADIANS(B102))*COS(RADIANS(C102))+SIN(RADIANS(B103))*COS(RADIANS(C103)))*L103,4))</f>
        <v/>
      </c>
      <c r="G103" s="90">
        <f>IF(K103="","",ROUND(G102+(A103-A102)/2*(SIN(RADIANS(B102))*SIN(RADIANS(C102))+SIN(RADIANS(B103))*SIN(RADIANS(C103)))*L103,4))</f>
        <v/>
      </c>
      <c r="H103" s="91">
        <f>IF(K103="","",IF(A103=A102,0,K103*100/(A103-A102)))</f>
        <v/>
      </c>
      <c r="I103" s="92">
        <f>IF(A103="",9.9E+99,A103)</f>
        <v/>
      </c>
      <c r="J103" s="92">
        <f>IF(D103="",0,D103)</f>
        <v/>
      </c>
      <c r="K103" s="92">
        <f>IF(OR(A103="",A102=""),"",DEGREES(ACOS(MIN(1,MAX(-1,COS(RADIANS(B102))*COS(RADIANS(B103))+SIN(RADIANS(B102))*SIN(RADIANS(B103))*COS(RADIANS(C103-C102)))))))</f>
        <v/>
      </c>
      <c r="L103" s="92">
        <f>IF(K103="","",IF(K103=0,1,2/RADIANS(K103)*TAN(RADIANS(K103)/2)))</f>
        <v/>
      </c>
      <c r="M103" s="92">
        <f>IF($A103="",NA(),E103)</f>
        <v/>
      </c>
      <c r="N103" s="92">
        <f>IF($A103="",NA(),D103)</f>
        <v/>
      </c>
      <c r="O103" s="92">
        <f>IF($A103="",NA(),G103)</f>
        <v/>
      </c>
      <c r="P103" s="92">
        <f>IF($A103="",NA(),F103)</f>
        <v/>
      </c>
    </row>
    <row r="104">
      <c r="A104" s="31" t="n"/>
      <c r="B104" s="37" t="n"/>
      <c r="C104" s="37" t="n"/>
      <c r="D104" s="90">
        <f>IF(K104="","",D103+(A104-A103)/2*(COS(RADIANS(B103))+COS(RADIANS(B104)))*L104)</f>
        <v/>
      </c>
      <c r="E104" s="90">
        <f>IF(D104="","",F104*COS(RADIANS($B$3))+G104*SIN(RADIANS($B$3)))</f>
        <v/>
      </c>
      <c r="F104" s="90">
        <f>IF(K104="","",ROUND(F103+(A104-A103)/2*(SIN(RADIANS(B103))*COS(RADIANS(C103))+SIN(RADIANS(B104))*COS(RADIANS(C104)))*L104,4))</f>
        <v/>
      </c>
      <c r="G104" s="90">
        <f>IF(K104="","",ROUND(G103+(A104-A103)/2*(SIN(RADIANS(B103))*SIN(RADIANS(C103))+SIN(RADIANS(B104))*SIN(RADIANS(C104)))*L104,4))</f>
        <v/>
      </c>
      <c r="H104" s="91">
        <f>IF(K104="","",IF(A104=A103,0,K104*100/(A104-A103)))</f>
        <v/>
      </c>
      <c r="I104" s="92">
        <f>IF(A104="",9.9E+99,A104)</f>
        <v/>
      </c>
      <c r="J104" s="92">
        <f>IF(D104="",0,D104)</f>
        <v/>
      </c>
      <c r="K104" s="92">
        <f>IF(OR(A104="",A103=""),"",DEGREES(ACOS(MIN(1,MAX(-1,COS(RADIANS(B103))*COS(RADIANS(B104))+SIN(RADIANS(B103))*SIN(RADIANS(B104))*COS(RADIANS(C104-C103)))))))</f>
        <v/>
      </c>
      <c r="L104" s="92">
        <f>IF(K104="","",IF(K104=0,1,2/RADIANS(K104)*TAN(RADIANS(K104)/2)))</f>
        <v/>
      </c>
      <c r="M104" s="92">
        <f>IF($A104="",NA(),E104)</f>
        <v/>
      </c>
      <c r="N104" s="92">
        <f>IF($A104="",NA(),D104)</f>
        <v/>
      </c>
      <c r="O104" s="92">
        <f>IF($A104="",NA(),G104)</f>
        <v/>
      </c>
      <c r="P104" s="92">
        <f>IF($A104="",NA(),F104)</f>
        <v/>
      </c>
    </row>
    <row r="105">
      <c r="A105" s="31" t="n"/>
      <c r="B105" s="37" t="n"/>
      <c r="C105" s="37" t="n"/>
      <c r="D105" s="90">
        <f>IF(K105="","",D104+(A105-A104)/2*(COS(RADIANS(B104))+COS(RADIANS(B105)))*L105)</f>
        <v/>
      </c>
      <c r="E105" s="90">
        <f>IF(D105="","",F105*COS(RADIANS($B$3))+G105*SIN(RADIANS($B$3)))</f>
        <v/>
      </c>
      <c r="F105" s="90">
        <f>IF(K105="","",ROUND(F104+(A105-A104)/2*(SIN(RADIANS(B104))*COS(RADIANS(C104))+SIN(RADIANS(B105))*COS(RADIANS(C105)))*L105,4))</f>
        <v/>
      </c>
      <c r="G105" s="90">
        <f>IF(K105="","",ROUND(G104+(A105-A104)/2*(SIN(RADIANS(B104))*SIN(RADIANS(C104))+SIN(RADIANS(B105))*SIN(RADIANS(C105)))*L105,4))</f>
        <v/>
      </c>
      <c r="H105" s="91">
        <f>IF(K105="","",IF(A105=A104,0,K105*100/(A105-A104)))</f>
        <v/>
      </c>
      <c r="I105" s="92">
        <f>IF(A105="",9.9E+99,A105)</f>
        <v/>
      </c>
      <c r="J105" s="92">
        <f>IF(D105="",0,D105)</f>
        <v/>
      </c>
      <c r="K105" s="92">
        <f>IF(OR(A105="",A104=""),"",DEGREES(ACOS(MIN(1,MAX(-1,COS(RADIANS(B104))*COS(RADIANS(B105))+SIN(RADIANS(B104))*SIN(RADIANS(B105))*COS(RADIANS(C105-C104)))))))</f>
        <v/>
      </c>
      <c r="L105" s="92">
        <f>IF(K105="","",IF(K105=0,1,2/RADIANS(K105)*TAN(RADIANS(K105)/2)))</f>
        <v/>
      </c>
      <c r="M105" s="92">
        <f>IF($A105="",NA(),E105)</f>
        <v/>
      </c>
      <c r="N105" s="92">
        <f>IF($A105="",NA(),D105)</f>
        <v/>
      </c>
      <c r="O105" s="92">
        <f>IF($A105="",NA(),G105)</f>
        <v/>
      </c>
      <c r="P105" s="92">
        <f>IF($A105="",NA(),F105)</f>
        <v/>
      </c>
    </row>
    <row r="106">
      <c r="A106" s="31" t="n"/>
      <c r="B106" s="37" t="n"/>
      <c r="C106" s="37" t="n"/>
      <c r="D106" s="90">
        <f>IF(K106="","",D105+(A106-A105)/2*(COS(RADIANS(B105))+COS(RADIANS(B106)))*L106)</f>
        <v/>
      </c>
      <c r="E106" s="90">
        <f>IF(D106="","",F106*COS(RADIANS($B$3))+G106*SIN(RADIANS($B$3)))</f>
        <v/>
      </c>
      <c r="F106" s="90">
        <f>IF(K106="","",ROUND(F105+(A106-A105)/2*(SIN(RADIANS(B105))*COS(RADIANS(C105))+SIN(RADIANS(B106))*COS(RADIANS(C106)))*L106,4))</f>
        <v/>
      </c>
      <c r="G106" s="90">
        <f>IF(K106="","",ROUND(G105+(A106-A105)/2*(SIN(RADIANS(B105))*SIN(RADIANS(C105))+SIN(RADIANS(B106))*SIN(RADIANS(C106)))*L106,4))</f>
        <v/>
      </c>
      <c r="H106" s="91">
        <f>IF(K106="","",IF(A106=A105,0,K106*100/(A106-A105)))</f>
        <v/>
      </c>
      <c r="I106" s="92">
        <f>IF(A106="",9.9E+99,A106)</f>
        <v/>
      </c>
      <c r="J106" s="92">
        <f>IF(D106="",0,D106)</f>
        <v/>
      </c>
      <c r="K106" s="92">
        <f>IF(OR(A106="",A105=""),"",DEGREES(ACOS(MIN(1,MAX(-1,COS(RADIANS(B105))*COS(RADIANS(B106))+SIN(RADIANS(B105))*SIN(RADIANS(B106))*COS(RADIANS(C106-C105)))))))</f>
        <v/>
      </c>
      <c r="L106" s="92">
        <f>IF(K106="","",IF(K106=0,1,2/RADIANS(K106)*TAN(RADIANS(K106)/2)))</f>
        <v/>
      </c>
      <c r="M106" s="92">
        <f>IF($A106="",NA(),E106)</f>
        <v/>
      </c>
      <c r="N106" s="92">
        <f>IF($A106="",NA(),D106)</f>
        <v/>
      </c>
      <c r="O106" s="92">
        <f>IF($A106="",NA(),G106)</f>
        <v/>
      </c>
      <c r="P106" s="92">
        <f>IF($A106="",NA(),F106)</f>
        <v/>
      </c>
    </row>
    <row r="107">
      <c r="A107" s="9" t="inlineStr">
        <is>
          <t>* helper columns used by charts and the Kill Sheet - do not edit. VS_c/TVD_c/EW_c/NS_c show #N/A on unused rows by design (chart gaps).</t>
        </is>
      </c>
    </row>
    <row r="109">
      <c r="A109" s="89" t="inlineStr">
        <is>
          <t>TVD Interpolator (same logic the Kill Sheet uses)</t>
        </is>
      </c>
      <c r="B109" s="24" t="n"/>
      <c r="C109" s="24" t="n"/>
      <c r="D109" s="24" t="n"/>
      <c r="E109" s="24" t="n"/>
      <c r="F109" s="24" t="n"/>
      <c r="G109" s="24" t="n"/>
      <c r="H109" s="24" t="n"/>
    </row>
    <row r="110">
      <c r="A110" s="8" t="inlineStr">
        <is>
          <t>Measured depth</t>
        </is>
      </c>
      <c r="B110" s="93" t="n">
        <v>8000</v>
      </c>
      <c r="C110" s="79" t="inlineStr">
        <is>
          <t>ft</t>
        </is>
      </c>
    </row>
    <row r="111">
      <c r="A111" s="8" t="inlineStr">
        <is>
          <t>TVD at that MD</t>
        </is>
      </c>
      <c r="B111" s="87">
        <f>INDEX('Directional Survey'!$J$7:$J$106,MATCH($B$110,'Directional Survey'!$I$7:$I$106,1))+($B$110-INDEX('Directional Survey'!$I$7:$I$106,MATCH($B$110,'Directional Survey'!$I$7:$I$106,1)))*(IFERROR(INDEX('Directional Survey'!$J$7:$J$106,MATCH($B$110,'Directional Survey'!$I$7:$I$106,1)+1),INDEX('Directional Survey'!$J$7:$J$106,MATCH($B$110,'Directional Survey'!$I$7:$I$106,1)))-INDEX('Directional Survey'!$J$7:$J$106,MATCH($B$110,'Directional Survey'!$I$7:$I$106,1)))/(IFERROR(INDEX('Directional Survey'!$I$7:$I$106,MATCH($B$110,'Directional Survey'!$I$7:$I$106,1)+1),9.9E+99)-INDEX('Directional Survey'!$I$7:$I$106,MATCH($B$110,'Directional Survey'!$I$7:$I$106,1)))</f>
        <v/>
      </c>
      <c r="C111" s="79" t="inlineStr">
        <is>
          <t>ft</t>
        </is>
      </c>
    </row>
  </sheetData>
  <sheetProtection selectLockedCells="0" selectUnlockedCells="0" sheet="1" objects="0" insertRows="1" insertHyperlinks="1" autoFilter="1" scenarios="0" formatColumns="0" deleteColumns="1" insertColumns="1" pivotTables="1" deleteRows="1" formatCells="1" formatRows="0" sort="1"/>
  <mergeCells count="4">
    <mergeCell ref="A2:F2"/>
    <mergeCell ref="A5:P5"/>
    <mergeCell ref="A1:F1"/>
    <mergeCell ref="A109:H109"/>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tabColor rgb="002E75B6"/>
    <outlinePr summaryBelow="1" summaryRight="1"/>
    <pageSetUpPr/>
  </sheetPr>
  <dimension ref="A1:R142"/>
  <sheetViews>
    <sheetView workbookViewId="0">
      <pane ySplit="4" topLeftCell="A5" activePane="bottomLeft" state="frozen"/>
      <selection pane="bottomLeft" activeCell="A1" sqref="A1"/>
    </sheetView>
  </sheetViews>
  <sheetFormatPr baseColWidth="8" defaultRowHeight="15"/>
  <cols>
    <col width="10" customWidth="1" min="1" max="1"/>
    <col width="8" customWidth="1" min="2" max="2"/>
    <col width="8" customWidth="1" min="3" max="3"/>
    <col width="9" customWidth="1" min="4" max="4"/>
    <col width="9" customWidth="1" min="5" max="5"/>
    <col width="9" customWidth="1" min="6" max="6"/>
    <col width="9" customWidth="1" min="7" max="7"/>
    <col width="13" customWidth="1" min="8" max="8"/>
    <col width="13" customWidth="1" min="9" max="9"/>
    <col width="13" customWidth="1" min="10" max="10"/>
    <col width="12" customWidth="1" min="11" max="11"/>
    <col width="12" customWidth="1" min="12" max="12"/>
    <col width="22" customWidth="1" min="13" max="13"/>
    <col width="9" customWidth="1" min="14" max="14"/>
    <col width="9" customWidth="1" min="15" max="15"/>
    <col width="9" customWidth="1" min="16" max="16"/>
    <col width="9" customWidth="1" min="17" max="17"/>
    <col width="9" customWidth="1" min="18" max="18"/>
  </cols>
  <sheetData>
    <row r="1" ht="26" customHeight="1">
      <c r="A1" s="19" t="inlineStr">
        <is>
          <t>Torque &amp; Drag - Soft-String (Johancsik)</t>
        </is>
      </c>
      <c r="B1" s="2" t="n"/>
      <c r="C1" s="2" t="n"/>
      <c r="D1" s="2" t="n"/>
      <c r="E1" s="2" t="n"/>
      <c r="F1" s="2" t="n"/>
    </row>
    <row r="2">
      <c r="A2" s="20" t="inlineStr">
        <is>
          <t>Pick-up / slack-off / rotating tension and torque along the survey, hookloads, buckling screen, tension &amp; torque plots</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Inputs (light blue = linked to Well Data)</t>
        </is>
      </c>
      <c r="B6" s="24" t="n"/>
      <c r="C6" s="24" t="n"/>
      <c r="D6" s="24" t="n"/>
      <c r="E6" s="24" t="n"/>
      <c r="F6" s="24" t="n"/>
    </row>
    <row r="8">
      <c r="A8" s="25" t="inlineStr">
        <is>
          <t>String &amp; Friction</t>
        </is>
      </c>
      <c r="B8" s="26" t="n"/>
      <c r="C8" s="26" t="n"/>
      <c r="D8" s="26" t="n"/>
      <c r="E8" s="26" t="n"/>
      <c r="F8" s="26" t="n"/>
    </row>
    <row r="9">
      <c r="A9" t="inlineStr"/>
      <c r="F9" s="27" t="inlineStr">
        <is>
          <t>Calibrate friction factors to measured hookloads when available. Soft-string model: DP-dominated strings; stiff BHAs read high.</t>
        </is>
      </c>
    </row>
    <row r="10">
      <c r="A10" s="28" t="inlineStr">
        <is>
          <t>Mud weight</t>
        </is>
      </c>
      <c r="B10" s="63">
        <f>WD_OMW</f>
        <v/>
      </c>
      <c r="C10" s="30" t="inlineStr">
        <is>
          <t>ppg</t>
        </is>
      </c>
      <c r="D10" s="36">
        <f>IFERROR($B$10*119.8264,NA())</f>
        <v/>
      </c>
      <c r="E10" s="30" t="inlineStr">
        <is>
          <t>kg/m3</t>
        </is>
      </c>
      <c r="F10" s="27" t="inlineStr">
        <is>
          <t>Linked to Well Data sheet - overwrite locally if this well differs.</t>
        </is>
      </c>
    </row>
    <row r="11">
      <c r="A11" s="28" t="inlineStr">
        <is>
          <t>Bit / TD measured depth</t>
        </is>
      </c>
      <c r="B11" s="64">
        <f>WD_MD</f>
        <v/>
      </c>
      <c r="C11" s="30" t="inlineStr">
        <is>
          <t>ft</t>
        </is>
      </c>
      <c r="D11" s="32">
        <f>IFERROR($B$11*0.3048,NA())</f>
        <v/>
      </c>
      <c r="E11" s="30" t="inlineStr">
        <is>
          <t>m</t>
        </is>
      </c>
      <c r="F11" s="27" t="inlineStr">
        <is>
          <t>Linked to Well Data sheet - overwrite locally if this well differs.</t>
        </is>
      </c>
    </row>
    <row r="12">
      <c r="A12" s="28" t="inlineStr">
        <is>
          <t>Casing shoe MD</t>
        </is>
      </c>
      <c r="B12" s="64">
        <f>WD_ShoeMD</f>
        <v/>
      </c>
      <c r="C12" s="30" t="inlineStr">
        <is>
          <t>ft</t>
        </is>
      </c>
      <c r="D12" s="32">
        <f>IFERROR($B$12*0.3048,NA())</f>
        <v/>
      </c>
      <c r="E12" s="30" t="inlineStr">
        <is>
          <t>m</t>
        </is>
      </c>
      <c r="F12" s="27" t="inlineStr">
        <is>
          <t>Linked to Well Data sheet - overwrite locally if this well differs.</t>
        </is>
      </c>
    </row>
    <row r="13">
      <c r="A13" s="28" t="inlineStr">
        <is>
          <t>Open hole diameter</t>
        </is>
      </c>
      <c r="B13" s="84">
        <f>WD_HoleDiam</f>
        <v/>
      </c>
      <c r="C13" s="30" t="inlineStr">
        <is>
          <t>in</t>
        </is>
      </c>
      <c r="D13" s="34">
        <f>IFERROR($B$13*25.4,NA())</f>
        <v/>
      </c>
      <c r="E13" s="30" t="inlineStr">
        <is>
          <t>mm</t>
        </is>
      </c>
      <c r="F13" s="27" t="inlineStr">
        <is>
          <t>Linked to Well Data sheet - overwrite locally if this well differs.</t>
        </is>
      </c>
    </row>
    <row r="14">
      <c r="A14" s="28" t="inlineStr">
        <is>
          <t>Casing ID</t>
        </is>
      </c>
      <c r="B14" s="84">
        <f>WD_CsgID</f>
        <v/>
      </c>
      <c r="C14" s="30" t="inlineStr">
        <is>
          <t>in</t>
        </is>
      </c>
      <c r="D14" s="34">
        <f>IFERROR($B$14*25.4,NA())</f>
        <v/>
      </c>
      <c r="E14" s="30" t="inlineStr">
        <is>
          <t>mm</t>
        </is>
      </c>
      <c r="F14" s="27" t="inlineStr">
        <is>
          <t>Linked to Well Data sheet - overwrite locally if this well differs.</t>
        </is>
      </c>
    </row>
    <row r="15">
      <c r="A15" s="28" t="inlineStr">
        <is>
          <t>Drill pipe adjusted weight</t>
        </is>
      </c>
      <c r="B15" s="94">
        <f>WD_DPWt</f>
        <v/>
      </c>
      <c r="C15" s="30" t="inlineStr">
        <is>
          <t>lb/ft</t>
        </is>
      </c>
      <c r="D15" s="42">
        <f>IFERROR($B$15*1.488164,NA())</f>
        <v/>
      </c>
      <c r="E15" s="30" t="inlineStr">
        <is>
          <t>kg/m</t>
        </is>
      </c>
      <c r="F15" s="27" t="inlineStr">
        <is>
          <t>Linked to Well Data sheet - overwrite locally if this well differs.</t>
        </is>
      </c>
    </row>
    <row r="16">
      <c r="A16" s="28" t="inlineStr">
        <is>
          <t>BHA weight per foot</t>
        </is>
      </c>
      <c r="B16" s="94">
        <f>WD_BHAWt</f>
        <v/>
      </c>
      <c r="C16" s="30" t="inlineStr">
        <is>
          <t>lb/ft</t>
        </is>
      </c>
      <c r="D16" s="42">
        <f>IFERROR($B$16*1.488164,NA())</f>
        <v/>
      </c>
      <c r="E16" s="30" t="inlineStr">
        <is>
          <t>kg/m</t>
        </is>
      </c>
      <c r="F16" s="27" t="inlineStr">
        <is>
          <t>Linked to Well Data sheet - overwrite locally if this well differs.</t>
        </is>
      </c>
    </row>
    <row r="17">
      <c r="A17" s="28" t="inlineStr">
        <is>
          <t>BHA length</t>
        </is>
      </c>
      <c r="B17" s="64">
        <f>WD_BHALen</f>
        <v/>
      </c>
      <c r="C17" s="30" t="inlineStr">
        <is>
          <t>ft</t>
        </is>
      </c>
      <c r="D17" s="32">
        <f>IFERROR($B$17*0.3048,NA())</f>
        <v/>
      </c>
      <c r="E17" s="30" t="inlineStr">
        <is>
          <t>m</t>
        </is>
      </c>
      <c r="F17" s="27" t="inlineStr">
        <is>
          <t>Linked to Well Data sheet - overwrite locally if this well differs.</t>
        </is>
      </c>
    </row>
    <row r="18">
      <c r="A18" s="28" t="inlineStr">
        <is>
          <t>Friction factor - cased</t>
        </is>
      </c>
      <c r="B18" s="94">
        <f>WD_MuCased</f>
        <v/>
      </c>
      <c r="C18" s="30" t="inlineStr"/>
      <c r="F18" s="27" t="inlineStr">
        <is>
          <t>Linked to Well Data sheet - overwrite locally if this well differs.</t>
        </is>
      </c>
    </row>
    <row r="19">
      <c r="A19" s="28" t="inlineStr">
        <is>
          <t>Friction factor - open hole</t>
        </is>
      </c>
      <c r="B19" s="94">
        <f>WD_MuOpen</f>
        <v/>
      </c>
      <c r="C19" s="30" t="inlineStr"/>
      <c r="F19" s="27" t="inlineStr">
        <is>
          <t>Linked to Well Data sheet - overwrite locally if this well differs.</t>
        </is>
      </c>
    </row>
    <row r="20">
      <c r="A20" s="28" t="inlineStr">
        <is>
          <t>Weight on bit (slack-off / rotating case)</t>
        </is>
      </c>
      <c r="B20" s="95">
        <f>WD_WOB</f>
        <v/>
      </c>
      <c r="C20" s="30" t="inlineStr">
        <is>
          <t>klbf</t>
        </is>
      </c>
      <c r="D20" s="40">
        <f>IFERROR($B$20*4.448222,NA())</f>
        <v/>
      </c>
      <c r="E20" s="30" t="inlineStr">
        <is>
          <t>kN</t>
        </is>
      </c>
      <c r="F20" s="27" t="inlineStr">
        <is>
          <t>Linked to Well Data sheet - overwrite locally if this well differs.</t>
        </is>
      </c>
    </row>
    <row r="21">
      <c r="A21" s="28" t="inlineStr">
        <is>
          <t>Bit torque (rotating case)</t>
        </is>
      </c>
      <c r="B21" s="64">
        <f>WD_BitTq</f>
        <v/>
      </c>
      <c r="C21" s="30" t="inlineStr">
        <is>
          <t>ft-lbf</t>
        </is>
      </c>
      <c r="D21" s="32">
        <f>IFERROR($B$21*1.355818,NA())</f>
        <v/>
      </c>
      <c r="E21" s="30" t="inlineStr">
        <is>
          <t>N-m</t>
        </is>
      </c>
      <c r="F21" s="27" t="inlineStr">
        <is>
          <t>Linked to Well Data sheet - overwrite locally if this well differs.</t>
        </is>
      </c>
    </row>
    <row r="22">
      <c r="A22" s="28" t="inlineStr">
        <is>
          <t>Tool joint OD (torque radius)</t>
        </is>
      </c>
      <c r="B22" s="84">
        <f>WD_TJOD</f>
        <v/>
      </c>
      <c r="C22" s="30" t="inlineStr">
        <is>
          <t>in</t>
        </is>
      </c>
      <c r="D22" s="34">
        <f>IFERROR($B$22*25.4,NA())</f>
        <v/>
      </c>
      <c r="E22" s="30" t="inlineStr">
        <is>
          <t>mm</t>
        </is>
      </c>
      <c r="F22" s="27" t="inlineStr">
        <is>
          <t>Linked to Well Data sheet - overwrite locally if this well differs.</t>
        </is>
      </c>
    </row>
    <row r="23">
      <c r="A23" s="28" t="inlineStr">
        <is>
          <t>Block + top drive weight</t>
        </is>
      </c>
      <c r="B23" s="64">
        <f>WD_BlockWt</f>
        <v/>
      </c>
      <c r="C23" s="30" t="inlineStr">
        <is>
          <t>klbf</t>
        </is>
      </c>
      <c r="D23" s="32">
        <f>IFERROR($B$23*4.448222,NA())</f>
        <v/>
      </c>
      <c r="E23" s="30" t="inlineStr">
        <is>
          <t>kN</t>
        </is>
      </c>
      <c r="F23" s="27" t="inlineStr">
        <is>
          <t>Linked to Well Data sheet - overwrite locally if this well differs.</t>
        </is>
      </c>
    </row>
    <row r="24">
      <c r="A24" s="28" t="inlineStr">
        <is>
          <t>Drill pipe body OD (buckling)</t>
        </is>
      </c>
      <c r="B24" s="33" t="n">
        <v>5</v>
      </c>
      <c r="C24" s="30" t="inlineStr">
        <is>
          <t>in</t>
        </is>
      </c>
      <c r="D24" s="34">
        <f>IFERROR($B$24*25.4,NA())</f>
        <v/>
      </c>
      <c r="E24" s="30" t="inlineStr">
        <is>
          <t>mm</t>
        </is>
      </c>
    </row>
    <row r="25">
      <c r="A25" s="28" t="inlineStr">
        <is>
          <t>Drill pipe body ID (buckling)</t>
        </is>
      </c>
      <c r="B25" s="33" t="n">
        <v>4.276</v>
      </c>
      <c r="C25" s="30" t="inlineStr">
        <is>
          <t>in</t>
        </is>
      </c>
      <c r="D25" s="34">
        <f>IFERROR($B$25*25.4,NA())</f>
        <v/>
      </c>
      <c r="E25" s="30" t="inlineStr">
        <is>
          <t>mm</t>
        </is>
      </c>
    </row>
    <row r="26">
      <c r="A26" s="28" t="inlineStr">
        <is>
          <t>Steel modulus (E)</t>
        </is>
      </c>
      <c r="B26" s="31" t="n">
        <v>30000000</v>
      </c>
      <c r="C26" s="30" t="inlineStr">
        <is>
          <t>psi</t>
        </is>
      </c>
      <c r="D26" s="32">
        <f>IFERROR($B$26*6.894757,NA())</f>
        <v/>
      </c>
      <c r="E26" s="30" t="inlineStr">
        <is>
          <t>kPa</t>
        </is>
      </c>
      <c r="F26" s="27" t="inlineStr">
        <is>
          <t>Api RP 7G commonly 29.6-30 x 10^6 psi.</t>
        </is>
      </c>
    </row>
    <row r="27">
      <c r="A27" s="28" t="inlineStr">
        <is>
          <t>Buoyancy factor</t>
        </is>
      </c>
      <c r="B27" s="50">
        <f>(65.5-$B$10)/65.5</f>
        <v/>
      </c>
      <c r="C27" s="30" t="inlineStr"/>
    </row>
    <row r="28">
      <c r="A28" s="28" t="inlineStr">
        <is>
          <t>DP moment of inertia (I)</t>
        </is>
      </c>
      <c r="B28" s="51">
        <f>PI()/64*($B$24^4-$B$25^4)</f>
        <v/>
      </c>
      <c r="C28" s="30" t="inlineStr"/>
      <c r="F28" s="27" t="inlineStr">
        <is>
          <t>in^4</t>
        </is>
      </c>
    </row>
    <row r="30" ht="20" customHeight="1">
      <c r="A30" s="23" t="inlineStr">
        <is>
          <t>Station Table (marches bottom-up from the bit; rows mirror the survey)</t>
        </is>
      </c>
      <c r="B30" s="24" t="n"/>
      <c r="C30" s="24" t="n"/>
      <c r="D30" s="24" t="n"/>
      <c r="E30" s="24" t="n"/>
      <c r="F30" s="24" t="n"/>
    </row>
    <row r="31" ht="30" customHeight="1">
      <c r="A31" s="27" t="inlineStr">
        <is>
          <t>Tension in lbf at each survey node. Pick-up boundary: 0 at bit (off-bottom); slack-off &amp; rotating boundary: -WOB. Torque boundary: bit torque. Buckling screen on the slack-off case.</t>
        </is>
      </c>
    </row>
    <row r="32">
      <c r="A32" s="67" t="inlineStr">
        <is>
          <t>MD (ft)</t>
        </is>
      </c>
      <c r="B32" s="67" t="inlineStr">
        <is>
          <t>Inc (deg)</t>
        </is>
      </c>
      <c r="C32" s="67" t="inlineStr">
        <is>
          <t>dMD (ft)</t>
        </is>
      </c>
      <c r="D32" s="67" t="inlineStr">
        <is>
          <t>th avg (deg)</t>
        </is>
      </c>
      <c r="E32" s="67" t="inlineStr">
        <is>
          <t>dInc (rad)</t>
        </is>
      </c>
      <c r="F32" s="67" t="inlineStr">
        <is>
          <t>dAzi (rad)</t>
        </is>
      </c>
      <c r="G32" s="67" t="inlineStr">
        <is>
          <t>w_b (lb/ft)</t>
        </is>
      </c>
      <c r="H32" s="67" t="inlineStr">
        <is>
          <t>T pick-up (lbf)</t>
        </is>
      </c>
      <c r="I32" s="67" t="inlineStr">
        <is>
          <t>T slack-off (lbf)</t>
        </is>
      </c>
      <c r="J32" s="67" t="inlineStr">
        <is>
          <t>T rotating (lbf)</t>
        </is>
      </c>
      <c r="K32" s="67" t="inlineStr">
        <is>
          <t>Torque (ft-lbf)</t>
        </is>
      </c>
      <c r="L32" s="67" t="inlineStr">
        <is>
          <t>F_sin limit (lbf)</t>
        </is>
      </c>
      <c r="M32" s="67" t="inlineStr">
        <is>
          <t>Buckling flag</t>
        </is>
      </c>
      <c r="N32" s="67" t="inlineStr">
        <is>
          <t>MD_c*</t>
        </is>
      </c>
      <c r="O32" s="67" t="inlineStr">
        <is>
          <t>PU_c*</t>
        </is>
      </c>
      <c r="P32" s="67" t="inlineStr">
        <is>
          <t>SO_c*</t>
        </is>
      </c>
      <c r="Q32" s="67" t="inlineStr">
        <is>
          <t>ROT_c*</t>
        </is>
      </c>
      <c r="R32" s="67" t="inlineStr">
        <is>
          <t>TQ_c*</t>
        </is>
      </c>
    </row>
    <row r="33">
      <c r="A33" s="96">
        <f>IF('Directional Survey'!A7="","",'Directional Survey'!A7)</f>
        <v/>
      </c>
      <c r="B33" s="97">
        <f>IF($A33="","",'Directional Survey'!B7)</f>
        <v/>
      </c>
      <c r="C33" s="96">
        <f>IF(OR($A33="",'Directional Survey'!A8=""),"",'Directional Survey'!A8-$A33)</f>
        <v/>
      </c>
      <c r="D33" s="97">
        <f>IF($C33="","",($B33+'Directional Survey'!B8)/2)</f>
        <v/>
      </c>
      <c r="E33" s="97">
        <f>IF($C33="","",RADIANS('Directional Survey'!B8-$B33))</f>
        <v/>
      </c>
      <c r="F33" s="97">
        <f>IF($C33="","",RADIANS('Directional Survey'!C8-'Directional Survey'!C7))</f>
        <v/>
      </c>
      <c r="G33" s="97">
        <f>IF($C33="","",$B$27*IF(($A33+$A33+$C33)/2&gt;$B$11-$B$17,$B$16,$B$15))</f>
        <v/>
      </c>
      <c r="H33" s="96">
        <f>IF($A33="","",IF($C33="",0,$H34+$G33*$C33*COS(RADIANS($D33))+IF(($A33+$C33/2)&lt;=$B$12,$B$18,$B$19)*SQRT(($H34*$F33*SIN(RADIANS($D33)))^2+($H34*$E33+$G33*$C33*SIN(RADIANS($D33)))^2)))</f>
        <v/>
      </c>
      <c r="I33" s="96">
        <f>IF($A33="","",IF($C33="",-$B$20*1000,$I34+$G33*$C33*COS(RADIANS($D33))-IF(($A33+$C33/2)&lt;=$B$12,$B$18,$B$19)*SQRT(($I34*$F33*SIN(RADIANS($D33)))^2+($I34*$E33+$G33*$C33*SIN(RADIANS($D33)))^2)))</f>
        <v/>
      </c>
      <c r="J33" s="96">
        <f>IF($A33="","",IF($C33="",-$B$20*1000,$J34+$G33*$C33*COS(RADIANS($D33))))</f>
        <v/>
      </c>
      <c r="K33" s="96">
        <f>IF($A33="","",IF($C33="",$B$21,$K34+IF(($A33+$C33/2)&lt;=$B$12,$B$18,$B$19)*SQRT(($J34*$F33*SIN(RADIANS($D33)))^2+($J34*$E33+$G33*$C33*SIN(RADIANS($D33)))^2)*$B$22/24))</f>
        <v/>
      </c>
      <c r="L33" s="96">
        <f>IF($C33="","",2*SQRT($B$26*$B$28*($G33/12)*SIN(RADIANS(MAX($D33,3)))/(IF($A33&lt;=$B$12,$B$14,$B$13)-$B$24)/2))</f>
        <v/>
      </c>
      <c r="M33" s="9">
        <f>IF($C33="","",IF($I33&lt;-1.41*$L33,"HELICAL BUCKLING - CHECK",IF($I33&lt;-$L33,"SINUSOIDAL - MARGINAL","")))</f>
        <v/>
      </c>
      <c r="N33" s="98">
        <f>IF($A33="",NA(),$A33)</f>
        <v/>
      </c>
      <c r="O33" s="98">
        <f>IF($A33="",NA(),$H33/1000)</f>
        <v/>
      </c>
      <c r="P33" s="98">
        <f>IF($A33="",NA(),$I33/1000)</f>
        <v/>
      </c>
      <c r="Q33" s="98">
        <f>IF($A33="",NA(),$J33/1000)</f>
        <v/>
      </c>
      <c r="R33" s="98">
        <f>IF($A33="",NA(),$K33/1000)</f>
        <v/>
      </c>
    </row>
    <row r="34">
      <c r="A34" s="96">
        <f>IF('Directional Survey'!A8="","",'Directional Survey'!A8)</f>
        <v/>
      </c>
      <c r="B34" s="97">
        <f>IF($A34="","",'Directional Survey'!B8)</f>
        <v/>
      </c>
      <c r="C34" s="96">
        <f>IF(OR($A34="",'Directional Survey'!A9=""),"",'Directional Survey'!A9-$A34)</f>
        <v/>
      </c>
      <c r="D34" s="97">
        <f>IF($C34="","",($B34+'Directional Survey'!B9)/2)</f>
        <v/>
      </c>
      <c r="E34" s="97">
        <f>IF($C34="","",RADIANS('Directional Survey'!B9-$B34))</f>
        <v/>
      </c>
      <c r="F34" s="97">
        <f>IF($C34="","",RADIANS('Directional Survey'!C9-'Directional Survey'!C8))</f>
        <v/>
      </c>
      <c r="G34" s="97">
        <f>IF($C34="","",$B$27*IF(($A34+$A34+$C34)/2&gt;$B$11-$B$17,$B$16,$B$15))</f>
        <v/>
      </c>
      <c r="H34" s="96">
        <f>IF($A34="","",IF($C34="",0,$H35+$G34*$C34*COS(RADIANS($D34))+IF(($A34+$C34/2)&lt;=$B$12,$B$18,$B$19)*SQRT(($H35*$F34*SIN(RADIANS($D34)))^2+($H35*$E34+$G34*$C34*SIN(RADIANS($D34)))^2)))</f>
        <v/>
      </c>
      <c r="I34" s="96">
        <f>IF($A34="","",IF($C34="",-$B$20*1000,$I35+$G34*$C34*COS(RADIANS($D34))-IF(($A34+$C34/2)&lt;=$B$12,$B$18,$B$19)*SQRT(($I35*$F34*SIN(RADIANS($D34)))^2+($I35*$E34+$G34*$C34*SIN(RADIANS($D34)))^2)))</f>
        <v/>
      </c>
      <c r="J34" s="96">
        <f>IF($A34="","",IF($C34="",-$B$20*1000,$J35+$G34*$C34*COS(RADIANS($D34))))</f>
        <v/>
      </c>
      <c r="K34" s="96">
        <f>IF($A34="","",IF($C34="",$B$21,$K35+IF(($A34+$C34/2)&lt;=$B$12,$B$18,$B$19)*SQRT(($J35*$F34*SIN(RADIANS($D34)))^2+($J35*$E34+$G34*$C34*SIN(RADIANS($D34)))^2)*$B$22/24))</f>
        <v/>
      </c>
      <c r="L34" s="96">
        <f>IF($C34="","",2*SQRT($B$26*$B$28*($G34/12)*SIN(RADIANS(MAX($D34,3)))/(IF($A34&lt;=$B$12,$B$14,$B$13)-$B$24)/2))</f>
        <v/>
      </c>
      <c r="M34" s="9">
        <f>IF($C34="","",IF($I34&lt;-1.41*$L34,"HELICAL BUCKLING - CHECK",IF($I34&lt;-$L34,"SINUSOIDAL - MARGINAL","")))</f>
        <v/>
      </c>
      <c r="N34" s="98">
        <f>IF($A34="",NA(),$A34)</f>
        <v/>
      </c>
      <c r="O34" s="98">
        <f>IF($A34="",NA(),$H34/1000)</f>
        <v/>
      </c>
      <c r="P34" s="98">
        <f>IF($A34="",NA(),$I34/1000)</f>
        <v/>
      </c>
      <c r="Q34" s="98">
        <f>IF($A34="",NA(),$J34/1000)</f>
        <v/>
      </c>
      <c r="R34" s="98">
        <f>IF($A34="",NA(),$K34/1000)</f>
        <v/>
      </c>
    </row>
    <row r="35">
      <c r="A35" s="96">
        <f>IF('Directional Survey'!A9="","",'Directional Survey'!A9)</f>
        <v/>
      </c>
      <c r="B35" s="97">
        <f>IF($A35="","",'Directional Survey'!B9)</f>
        <v/>
      </c>
      <c r="C35" s="96">
        <f>IF(OR($A35="",'Directional Survey'!A10=""),"",'Directional Survey'!A10-$A35)</f>
        <v/>
      </c>
      <c r="D35" s="97">
        <f>IF($C35="","",($B35+'Directional Survey'!B10)/2)</f>
        <v/>
      </c>
      <c r="E35" s="97">
        <f>IF($C35="","",RADIANS('Directional Survey'!B10-$B35))</f>
        <v/>
      </c>
      <c r="F35" s="97">
        <f>IF($C35="","",RADIANS('Directional Survey'!C10-'Directional Survey'!C9))</f>
        <v/>
      </c>
      <c r="G35" s="97">
        <f>IF($C35="","",$B$27*IF(($A35+$A35+$C35)/2&gt;$B$11-$B$17,$B$16,$B$15))</f>
        <v/>
      </c>
      <c r="H35" s="96">
        <f>IF($A35="","",IF($C35="",0,$H36+$G35*$C35*COS(RADIANS($D35))+IF(($A35+$C35/2)&lt;=$B$12,$B$18,$B$19)*SQRT(($H36*$F35*SIN(RADIANS($D35)))^2+($H36*$E35+$G35*$C35*SIN(RADIANS($D35)))^2)))</f>
        <v/>
      </c>
      <c r="I35" s="96">
        <f>IF($A35="","",IF($C35="",-$B$20*1000,$I36+$G35*$C35*COS(RADIANS($D35))-IF(($A35+$C35/2)&lt;=$B$12,$B$18,$B$19)*SQRT(($I36*$F35*SIN(RADIANS($D35)))^2+($I36*$E35+$G35*$C35*SIN(RADIANS($D35)))^2)))</f>
        <v/>
      </c>
      <c r="J35" s="96">
        <f>IF($A35="","",IF($C35="",-$B$20*1000,$J36+$G35*$C35*COS(RADIANS($D35))))</f>
        <v/>
      </c>
      <c r="K35" s="96">
        <f>IF($A35="","",IF($C35="",$B$21,$K36+IF(($A35+$C35/2)&lt;=$B$12,$B$18,$B$19)*SQRT(($J36*$F35*SIN(RADIANS($D35)))^2+($J36*$E35+$G35*$C35*SIN(RADIANS($D35)))^2)*$B$22/24))</f>
        <v/>
      </c>
      <c r="L35" s="96">
        <f>IF($C35="","",2*SQRT($B$26*$B$28*($G35/12)*SIN(RADIANS(MAX($D35,3)))/(IF($A35&lt;=$B$12,$B$14,$B$13)-$B$24)/2))</f>
        <v/>
      </c>
      <c r="M35" s="9">
        <f>IF($C35="","",IF($I35&lt;-1.41*$L35,"HELICAL BUCKLING - CHECK",IF($I35&lt;-$L35,"SINUSOIDAL - MARGINAL","")))</f>
        <v/>
      </c>
      <c r="N35" s="98">
        <f>IF($A35="",NA(),$A35)</f>
        <v/>
      </c>
      <c r="O35" s="98">
        <f>IF($A35="",NA(),$H35/1000)</f>
        <v/>
      </c>
      <c r="P35" s="98">
        <f>IF($A35="",NA(),$I35/1000)</f>
        <v/>
      </c>
      <c r="Q35" s="98">
        <f>IF($A35="",NA(),$J35/1000)</f>
        <v/>
      </c>
      <c r="R35" s="98">
        <f>IF($A35="",NA(),$K35/1000)</f>
        <v/>
      </c>
    </row>
    <row r="36">
      <c r="A36" s="96">
        <f>IF('Directional Survey'!A10="","",'Directional Survey'!A10)</f>
        <v/>
      </c>
      <c r="B36" s="97">
        <f>IF($A36="","",'Directional Survey'!B10)</f>
        <v/>
      </c>
      <c r="C36" s="96">
        <f>IF(OR($A36="",'Directional Survey'!A11=""),"",'Directional Survey'!A11-$A36)</f>
        <v/>
      </c>
      <c r="D36" s="97">
        <f>IF($C36="","",($B36+'Directional Survey'!B11)/2)</f>
        <v/>
      </c>
      <c r="E36" s="97">
        <f>IF($C36="","",RADIANS('Directional Survey'!B11-$B36))</f>
        <v/>
      </c>
      <c r="F36" s="97">
        <f>IF($C36="","",RADIANS('Directional Survey'!C11-'Directional Survey'!C10))</f>
        <v/>
      </c>
      <c r="G36" s="97">
        <f>IF($C36="","",$B$27*IF(($A36+$A36+$C36)/2&gt;$B$11-$B$17,$B$16,$B$15))</f>
        <v/>
      </c>
      <c r="H36" s="96">
        <f>IF($A36="","",IF($C36="",0,$H37+$G36*$C36*COS(RADIANS($D36))+IF(($A36+$C36/2)&lt;=$B$12,$B$18,$B$19)*SQRT(($H37*$F36*SIN(RADIANS($D36)))^2+($H37*$E36+$G36*$C36*SIN(RADIANS($D36)))^2)))</f>
        <v/>
      </c>
      <c r="I36" s="96">
        <f>IF($A36="","",IF($C36="",-$B$20*1000,$I37+$G36*$C36*COS(RADIANS($D36))-IF(($A36+$C36/2)&lt;=$B$12,$B$18,$B$19)*SQRT(($I37*$F36*SIN(RADIANS($D36)))^2+($I37*$E36+$G36*$C36*SIN(RADIANS($D36)))^2)))</f>
        <v/>
      </c>
      <c r="J36" s="96">
        <f>IF($A36="","",IF($C36="",-$B$20*1000,$J37+$G36*$C36*COS(RADIANS($D36))))</f>
        <v/>
      </c>
      <c r="K36" s="96">
        <f>IF($A36="","",IF($C36="",$B$21,$K37+IF(($A36+$C36/2)&lt;=$B$12,$B$18,$B$19)*SQRT(($J37*$F36*SIN(RADIANS($D36)))^2+($J37*$E36+$G36*$C36*SIN(RADIANS($D36)))^2)*$B$22/24))</f>
        <v/>
      </c>
      <c r="L36" s="96">
        <f>IF($C36="","",2*SQRT($B$26*$B$28*($G36/12)*SIN(RADIANS(MAX($D36,3)))/(IF($A36&lt;=$B$12,$B$14,$B$13)-$B$24)/2))</f>
        <v/>
      </c>
      <c r="M36" s="9">
        <f>IF($C36="","",IF($I36&lt;-1.41*$L36,"HELICAL BUCKLING - CHECK",IF($I36&lt;-$L36,"SINUSOIDAL - MARGINAL","")))</f>
        <v/>
      </c>
      <c r="N36" s="98">
        <f>IF($A36="",NA(),$A36)</f>
        <v/>
      </c>
      <c r="O36" s="98">
        <f>IF($A36="",NA(),$H36/1000)</f>
        <v/>
      </c>
      <c r="P36" s="98">
        <f>IF($A36="",NA(),$I36/1000)</f>
        <v/>
      </c>
      <c r="Q36" s="98">
        <f>IF($A36="",NA(),$J36/1000)</f>
        <v/>
      </c>
      <c r="R36" s="98">
        <f>IF($A36="",NA(),$K36/1000)</f>
        <v/>
      </c>
    </row>
    <row r="37">
      <c r="A37" s="96">
        <f>IF('Directional Survey'!A11="","",'Directional Survey'!A11)</f>
        <v/>
      </c>
      <c r="B37" s="97">
        <f>IF($A37="","",'Directional Survey'!B11)</f>
        <v/>
      </c>
      <c r="C37" s="96">
        <f>IF(OR($A37="",'Directional Survey'!A12=""),"",'Directional Survey'!A12-$A37)</f>
        <v/>
      </c>
      <c r="D37" s="97">
        <f>IF($C37="","",($B37+'Directional Survey'!B12)/2)</f>
        <v/>
      </c>
      <c r="E37" s="97">
        <f>IF($C37="","",RADIANS('Directional Survey'!B12-$B37))</f>
        <v/>
      </c>
      <c r="F37" s="97">
        <f>IF($C37="","",RADIANS('Directional Survey'!C12-'Directional Survey'!C11))</f>
        <v/>
      </c>
      <c r="G37" s="97">
        <f>IF($C37="","",$B$27*IF(($A37+$A37+$C37)/2&gt;$B$11-$B$17,$B$16,$B$15))</f>
        <v/>
      </c>
      <c r="H37" s="96">
        <f>IF($A37="","",IF($C37="",0,$H38+$G37*$C37*COS(RADIANS($D37))+IF(($A37+$C37/2)&lt;=$B$12,$B$18,$B$19)*SQRT(($H38*$F37*SIN(RADIANS($D37)))^2+($H38*$E37+$G37*$C37*SIN(RADIANS($D37)))^2)))</f>
        <v/>
      </c>
      <c r="I37" s="96">
        <f>IF($A37="","",IF($C37="",-$B$20*1000,$I38+$G37*$C37*COS(RADIANS($D37))-IF(($A37+$C37/2)&lt;=$B$12,$B$18,$B$19)*SQRT(($I38*$F37*SIN(RADIANS($D37)))^2+($I38*$E37+$G37*$C37*SIN(RADIANS($D37)))^2)))</f>
        <v/>
      </c>
      <c r="J37" s="96">
        <f>IF($A37="","",IF($C37="",-$B$20*1000,$J38+$G37*$C37*COS(RADIANS($D37))))</f>
        <v/>
      </c>
      <c r="K37" s="96">
        <f>IF($A37="","",IF($C37="",$B$21,$K38+IF(($A37+$C37/2)&lt;=$B$12,$B$18,$B$19)*SQRT(($J38*$F37*SIN(RADIANS($D37)))^2+($J38*$E37+$G37*$C37*SIN(RADIANS($D37)))^2)*$B$22/24))</f>
        <v/>
      </c>
      <c r="L37" s="96">
        <f>IF($C37="","",2*SQRT($B$26*$B$28*($G37/12)*SIN(RADIANS(MAX($D37,3)))/(IF($A37&lt;=$B$12,$B$14,$B$13)-$B$24)/2))</f>
        <v/>
      </c>
      <c r="M37" s="9">
        <f>IF($C37="","",IF($I37&lt;-1.41*$L37,"HELICAL BUCKLING - CHECK",IF($I37&lt;-$L37,"SINUSOIDAL - MARGINAL","")))</f>
        <v/>
      </c>
      <c r="N37" s="98">
        <f>IF($A37="",NA(),$A37)</f>
        <v/>
      </c>
      <c r="O37" s="98">
        <f>IF($A37="",NA(),$H37/1000)</f>
        <v/>
      </c>
      <c r="P37" s="98">
        <f>IF($A37="",NA(),$I37/1000)</f>
        <v/>
      </c>
      <c r="Q37" s="98">
        <f>IF($A37="",NA(),$J37/1000)</f>
        <v/>
      </c>
      <c r="R37" s="98">
        <f>IF($A37="",NA(),$K37/1000)</f>
        <v/>
      </c>
    </row>
    <row r="38">
      <c r="A38" s="96">
        <f>IF('Directional Survey'!A12="","",'Directional Survey'!A12)</f>
        <v/>
      </c>
      <c r="B38" s="97">
        <f>IF($A38="","",'Directional Survey'!B12)</f>
        <v/>
      </c>
      <c r="C38" s="96">
        <f>IF(OR($A38="",'Directional Survey'!A13=""),"",'Directional Survey'!A13-$A38)</f>
        <v/>
      </c>
      <c r="D38" s="97">
        <f>IF($C38="","",($B38+'Directional Survey'!B13)/2)</f>
        <v/>
      </c>
      <c r="E38" s="97">
        <f>IF($C38="","",RADIANS('Directional Survey'!B13-$B38))</f>
        <v/>
      </c>
      <c r="F38" s="97">
        <f>IF($C38="","",RADIANS('Directional Survey'!C13-'Directional Survey'!C12))</f>
        <v/>
      </c>
      <c r="G38" s="97">
        <f>IF($C38="","",$B$27*IF(($A38+$A38+$C38)/2&gt;$B$11-$B$17,$B$16,$B$15))</f>
        <v/>
      </c>
      <c r="H38" s="96">
        <f>IF($A38="","",IF($C38="",0,$H39+$G38*$C38*COS(RADIANS($D38))+IF(($A38+$C38/2)&lt;=$B$12,$B$18,$B$19)*SQRT(($H39*$F38*SIN(RADIANS($D38)))^2+($H39*$E38+$G38*$C38*SIN(RADIANS($D38)))^2)))</f>
        <v/>
      </c>
      <c r="I38" s="96">
        <f>IF($A38="","",IF($C38="",-$B$20*1000,$I39+$G38*$C38*COS(RADIANS($D38))-IF(($A38+$C38/2)&lt;=$B$12,$B$18,$B$19)*SQRT(($I39*$F38*SIN(RADIANS($D38)))^2+($I39*$E38+$G38*$C38*SIN(RADIANS($D38)))^2)))</f>
        <v/>
      </c>
      <c r="J38" s="96">
        <f>IF($A38="","",IF($C38="",-$B$20*1000,$J39+$G38*$C38*COS(RADIANS($D38))))</f>
        <v/>
      </c>
      <c r="K38" s="96">
        <f>IF($A38="","",IF($C38="",$B$21,$K39+IF(($A38+$C38/2)&lt;=$B$12,$B$18,$B$19)*SQRT(($J39*$F38*SIN(RADIANS($D38)))^2+($J39*$E38+$G38*$C38*SIN(RADIANS($D38)))^2)*$B$22/24))</f>
        <v/>
      </c>
      <c r="L38" s="96">
        <f>IF($C38="","",2*SQRT($B$26*$B$28*($G38/12)*SIN(RADIANS(MAX($D38,3)))/(IF($A38&lt;=$B$12,$B$14,$B$13)-$B$24)/2))</f>
        <v/>
      </c>
      <c r="M38" s="9">
        <f>IF($C38="","",IF($I38&lt;-1.41*$L38,"HELICAL BUCKLING - CHECK",IF($I38&lt;-$L38,"SINUSOIDAL - MARGINAL","")))</f>
        <v/>
      </c>
      <c r="N38" s="98">
        <f>IF($A38="",NA(),$A38)</f>
        <v/>
      </c>
      <c r="O38" s="98">
        <f>IF($A38="",NA(),$H38/1000)</f>
        <v/>
      </c>
      <c r="P38" s="98">
        <f>IF($A38="",NA(),$I38/1000)</f>
        <v/>
      </c>
      <c r="Q38" s="98">
        <f>IF($A38="",NA(),$J38/1000)</f>
        <v/>
      </c>
      <c r="R38" s="98">
        <f>IF($A38="",NA(),$K38/1000)</f>
        <v/>
      </c>
    </row>
    <row r="39">
      <c r="A39" s="96">
        <f>IF('Directional Survey'!A13="","",'Directional Survey'!A13)</f>
        <v/>
      </c>
      <c r="B39" s="97">
        <f>IF($A39="","",'Directional Survey'!B13)</f>
        <v/>
      </c>
      <c r="C39" s="96">
        <f>IF(OR($A39="",'Directional Survey'!A14=""),"",'Directional Survey'!A14-$A39)</f>
        <v/>
      </c>
      <c r="D39" s="97">
        <f>IF($C39="","",($B39+'Directional Survey'!B14)/2)</f>
        <v/>
      </c>
      <c r="E39" s="97">
        <f>IF($C39="","",RADIANS('Directional Survey'!B14-$B39))</f>
        <v/>
      </c>
      <c r="F39" s="97">
        <f>IF($C39="","",RADIANS('Directional Survey'!C14-'Directional Survey'!C13))</f>
        <v/>
      </c>
      <c r="G39" s="97">
        <f>IF($C39="","",$B$27*IF(($A39+$A39+$C39)/2&gt;$B$11-$B$17,$B$16,$B$15))</f>
        <v/>
      </c>
      <c r="H39" s="96">
        <f>IF($A39="","",IF($C39="",0,$H40+$G39*$C39*COS(RADIANS($D39))+IF(($A39+$C39/2)&lt;=$B$12,$B$18,$B$19)*SQRT(($H40*$F39*SIN(RADIANS($D39)))^2+($H40*$E39+$G39*$C39*SIN(RADIANS($D39)))^2)))</f>
        <v/>
      </c>
      <c r="I39" s="96">
        <f>IF($A39="","",IF($C39="",-$B$20*1000,$I40+$G39*$C39*COS(RADIANS($D39))-IF(($A39+$C39/2)&lt;=$B$12,$B$18,$B$19)*SQRT(($I40*$F39*SIN(RADIANS($D39)))^2+($I40*$E39+$G39*$C39*SIN(RADIANS($D39)))^2)))</f>
        <v/>
      </c>
      <c r="J39" s="96">
        <f>IF($A39="","",IF($C39="",-$B$20*1000,$J40+$G39*$C39*COS(RADIANS($D39))))</f>
        <v/>
      </c>
      <c r="K39" s="96">
        <f>IF($A39="","",IF($C39="",$B$21,$K40+IF(($A39+$C39/2)&lt;=$B$12,$B$18,$B$19)*SQRT(($J40*$F39*SIN(RADIANS($D39)))^2+($J40*$E39+$G39*$C39*SIN(RADIANS($D39)))^2)*$B$22/24))</f>
        <v/>
      </c>
      <c r="L39" s="96">
        <f>IF($C39="","",2*SQRT($B$26*$B$28*($G39/12)*SIN(RADIANS(MAX($D39,3)))/(IF($A39&lt;=$B$12,$B$14,$B$13)-$B$24)/2))</f>
        <v/>
      </c>
      <c r="M39" s="9">
        <f>IF($C39="","",IF($I39&lt;-1.41*$L39,"HELICAL BUCKLING - CHECK",IF($I39&lt;-$L39,"SINUSOIDAL - MARGINAL","")))</f>
        <v/>
      </c>
      <c r="N39" s="98">
        <f>IF($A39="",NA(),$A39)</f>
        <v/>
      </c>
      <c r="O39" s="98">
        <f>IF($A39="",NA(),$H39/1000)</f>
        <v/>
      </c>
      <c r="P39" s="98">
        <f>IF($A39="",NA(),$I39/1000)</f>
        <v/>
      </c>
      <c r="Q39" s="98">
        <f>IF($A39="",NA(),$J39/1000)</f>
        <v/>
      </c>
      <c r="R39" s="98">
        <f>IF($A39="",NA(),$K39/1000)</f>
        <v/>
      </c>
    </row>
    <row r="40">
      <c r="A40" s="96">
        <f>IF('Directional Survey'!A14="","",'Directional Survey'!A14)</f>
        <v/>
      </c>
      <c r="B40" s="97">
        <f>IF($A40="","",'Directional Survey'!B14)</f>
        <v/>
      </c>
      <c r="C40" s="96">
        <f>IF(OR($A40="",'Directional Survey'!A15=""),"",'Directional Survey'!A15-$A40)</f>
        <v/>
      </c>
      <c r="D40" s="97">
        <f>IF($C40="","",($B40+'Directional Survey'!B15)/2)</f>
        <v/>
      </c>
      <c r="E40" s="97">
        <f>IF($C40="","",RADIANS('Directional Survey'!B15-$B40))</f>
        <v/>
      </c>
      <c r="F40" s="97">
        <f>IF($C40="","",RADIANS('Directional Survey'!C15-'Directional Survey'!C14))</f>
        <v/>
      </c>
      <c r="G40" s="97">
        <f>IF($C40="","",$B$27*IF(($A40+$A40+$C40)/2&gt;$B$11-$B$17,$B$16,$B$15))</f>
        <v/>
      </c>
      <c r="H40" s="96">
        <f>IF($A40="","",IF($C40="",0,$H41+$G40*$C40*COS(RADIANS($D40))+IF(($A40+$C40/2)&lt;=$B$12,$B$18,$B$19)*SQRT(($H41*$F40*SIN(RADIANS($D40)))^2+($H41*$E40+$G40*$C40*SIN(RADIANS($D40)))^2)))</f>
        <v/>
      </c>
      <c r="I40" s="96">
        <f>IF($A40="","",IF($C40="",-$B$20*1000,$I41+$G40*$C40*COS(RADIANS($D40))-IF(($A40+$C40/2)&lt;=$B$12,$B$18,$B$19)*SQRT(($I41*$F40*SIN(RADIANS($D40)))^2+($I41*$E40+$G40*$C40*SIN(RADIANS($D40)))^2)))</f>
        <v/>
      </c>
      <c r="J40" s="96">
        <f>IF($A40="","",IF($C40="",-$B$20*1000,$J41+$G40*$C40*COS(RADIANS($D40))))</f>
        <v/>
      </c>
      <c r="K40" s="96">
        <f>IF($A40="","",IF($C40="",$B$21,$K41+IF(($A40+$C40/2)&lt;=$B$12,$B$18,$B$19)*SQRT(($J41*$F40*SIN(RADIANS($D40)))^2+($J41*$E40+$G40*$C40*SIN(RADIANS($D40)))^2)*$B$22/24))</f>
        <v/>
      </c>
      <c r="L40" s="96">
        <f>IF($C40="","",2*SQRT($B$26*$B$28*($G40/12)*SIN(RADIANS(MAX($D40,3)))/(IF($A40&lt;=$B$12,$B$14,$B$13)-$B$24)/2))</f>
        <v/>
      </c>
      <c r="M40" s="9">
        <f>IF($C40="","",IF($I40&lt;-1.41*$L40,"HELICAL BUCKLING - CHECK",IF($I40&lt;-$L40,"SINUSOIDAL - MARGINAL","")))</f>
        <v/>
      </c>
      <c r="N40" s="98">
        <f>IF($A40="",NA(),$A40)</f>
        <v/>
      </c>
      <c r="O40" s="98">
        <f>IF($A40="",NA(),$H40/1000)</f>
        <v/>
      </c>
      <c r="P40" s="98">
        <f>IF($A40="",NA(),$I40/1000)</f>
        <v/>
      </c>
      <c r="Q40" s="98">
        <f>IF($A40="",NA(),$J40/1000)</f>
        <v/>
      </c>
      <c r="R40" s="98">
        <f>IF($A40="",NA(),$K40/1000)</f>
        <v/>
      </c>
    </row>
    <row r="41">
      <c r="A41" s="96">
        <f>IF('Directional Survey'!A15="","",'Directional Survey'!A15)</f>
        <v/>
      </c>
      <c r="B41" s="97">
        <f>IF($A41="","",'Directional Survey'!B15)</f>
        <v/>
      </c>
      <c r="C41" s="96">
        <f>IF(OR($A41="",'Directional Survey'!A16=""),"",'Directional Survey'!A16-$A41)</f>
        <v/>
      </c>
      <c r="D41" s="97">
        <f>IF($C41="","",($B41+'Directional Survey'!B16)/2)</f>
        <v/>
      </c>
      <c r="E41" s="97">
        <f>IF($C41="","",RADIANS('Directional Survey'!B16-$B41))</f>
        <v/>
      </c>
      <c r="F41" s="97">
        <f>IF($C41="","",RADIANS('Directional Survey'!C16-'Directional Survey'!C15))</f>
        <v/>
      </c>
      <c r="G41" s="97">
        <f>IF($C41="","",$B$27*IF(($A41+$A41+$C41)/2&gt;$B$11-$B$17,$B$16,$B$15))</f>
        <v/>
      </c>
      <c r="H41" s="96">
        <f>IF($A41="","",IF($C41="",0,$H42+$G41*$C41*COS(RADIANS($D41))+IF(($A41+$C41/2)&lt;=$B$12,$B$18,$B$19)*SQRT(($H42*$F41*SIN(RADIANS($D41)))^2+($H42*$E41+$G41*$C41*SIN(RADIANS($D41)))^2)))</f>
        <v/>
      </c>
      <c r="I41" s="96">
        <f>IF($A41="","",IF($C41="",-$B$20*1000,$I42+$G41*$C41*COS(RADIANS($D41))-IF(($A41+$C41/2)&lt;=$B$12,$B$18,$B$19)*SQRT(($I42*$F41*SIN(RADIANS($D41)))^2+($I42*$E41+$G41*$C41*SIN(RADIANS($D41)))^2)))</f>
        <v/>
      </c>
      <c r="J41" s="96">
        <f>IF($A41="","",IF($C41="",-$B$20*1000,$J42+$G41*$C41*COS(RADIANS($D41))))</f>
        <v/>
      </c>
      <c r="K41" s="96">
        <f>IF($A41="","",IF($C41="",$B$21,$K42+IF(($A41+$C41/2)&lt;=$B$12,$B$18,$B$19)*SQRT(($J42*$F41*SIN(RADIANS($D41)))^2+($J42*$E41+$G41*$C41*SIN(RADIANS($D41)))^2)*$B$22/24))</f>
        <v/>
      </c>
      <c r="L41" s="96">
        <f>IF($C41="","",2*SQRT($B$26*$B$28*($G41/12)*SIN(RADIANS(MAX($D41,3)))/(IF($A41&lt;=$B$12,$B$14,$B$13)-$B$24)/2))</f>
        <v/>
      </c>
      <c r="M41" s="9">
        <f>IF($C41="","",IF($I41&lt;-1.41*$L41,"HELICAL BUCKLING - CHECK",IF($I41&lt;-$L41,"SINUSOIDAL - MARGINAL","")))</f>
        <v/>
      </c>
      <c r="N41" s="98">
        <f>IF($A41="",NA(),$A41)</f>
        <v/>
      </c>
      <c r="O41" s="98">
        <f>IF($A41="",NA(),$H41/1000)</f>
        <v/>
      </c>
      <c r="P41" s="98">
        <f>IF($A41="",NA(),$I41/1000)</f>
        <v/>
      </c>
      <c r="Q41" s="98">
        <f>IF($A41="",NA(),$J41/1000)</f>
        <v/>
      </c>
      <c r="R41" s="98">
        <f>IF($A41="",NA(),$K41/1000)</f>
        <v/>
      </c>
    </row>
    <row r="42">
      <c r="A42" s="96">
        <f>IF('Directional Survey'!A16="","",'Directional Survey'!A16)</f>
        <v/>
      </c>
      <c r="B42" s="97">
        <f>IF($A42="","",'Directional Survey'!B16)</f>
        <v/>
      </c>
      <c r="C42" s="96">
        <f>IF(OR($A42="",'Directional Survey'!A17=""),"",'Directional Survey'!A17-$A42)</f>
        <v/>
      </c>
      <c r="D42" s="97">
        <f>IF($C42="","",($B42+'Directional Survey'!B17)/2)</f>
        <v/>
      </c>
      <c r="E42" s="97">
        <f>IF($C42="","",RADIANS('Directional Survey'!B17-$B42))</f>
        <v/>
      </c>
      <c r="F42" s="97">
        <f>IF($C42="","",RADIANS('Directional Survey'!C17-'Directional Survey'!C16))</f>
        <v/>
      </c>
      <c r="G42" s="97">
        <f>IF($C42="","",$B$27*IF(($A42+$A42+$C42)/2&gt;$B$11-$B$17,$B$16,$B$15))</f>
        <v/>
      </c>
      <c r="H42" s="96">
        <f>IF($A42="","",IF($C42="",0,$H43+$G42*$C42*COS(RADIANS($D42))+IF(($A42+$C42/2)&lt;=$B$12,$B$18,$B$19)*SQRT(($H43*$F42*SIN(RADIANS($D42)))^2+($H43*$E42+$G42*$C42*SIN(RADIANS($D42)))^2)))</f>
        <v/>
      </c>
      <c r="I42" s="96">
        <f>IF($A42="","",IF($C42="",-$B$20*1000,$I43+$G42*$C42*COS(RADIANS($D42))-IF(($A42+$C42/2)&lt;=$B$12,$B$18,$B$19)*SQRT(($I43*$F42*SIN(RADIANS($D42)))^2+($I43*$E42+$G42*$C42*SIN(RADIANS($D42)))^2)))</f>
        <v/>
      </c>
      <c r="J42" s="96">
        <f>IF($A42="","",IF($C42="",-$B$20*1000,$J43+$G42*$C42*COS(RADIANS($D42))))</f>
        <v/>
      </c>
      <c r="K42" s="96">
        <f>IF($A42="","",IF($C42="",$B$21,$K43+IF(($A42+$C42/2)&lt;=$B$12,$B$18,$B$19)*SQRT(($J43*$F42*SIN(RADIANS($D42)))^2+($J43*$E42+$G42*$C42*SIN(RADIANS($D42)))^2)*$B$22/24))</f>
        <v/>
      </c>
      <c r="L42" s="96">
        <f>IF($C42="","",2*SQRT($B$26*$B$28*($G42/12)*SIN(RADIANS(MAX($D42,3)))/(IF($A42&lt;=$B$12,$B$14,$B$13)-$B$24)/2))</f>
        <v/>
      </c>
      <c r="M42" s="9">
        <f>IF($C42="","",IF($I42&lt;-1.41*$L42,"HELICAL BUCKLING - CHECK",IF($I42&lt;-$L42,"SINUSOIDAL - MARGINAL","")))</f>
        <v/>
      </c>
      <c r="N42" s="98">
        <f>IF($A42="",NA(),$A42)</f>
        <v/>
      </c>
      <c r="O42" s="98">
        <f>IF($A42="",NA(),$H42/1000)</f>
        <v/>
      </c>
      <c r="P42" s="98">
        <f>IF($A42="",NA(),$I42/1000)</f>
        <v/>
      </c>
      <c r="Q42" s="98">
        <f>IF($A42="",NA(),$J42/1000)</f>
        <v/>
      </c>
      <c r="R42" s="98">
        <f>IF($A42="",NA(),$K42/1000)</f>
        <v/>
      </c>
    </row>
    <row r="43">
      <c r="A43" s="96">
        <f>IF('Directional Survey'!A17="","",'Directional Survey'!A17)</f>
        <v/>
      </c>
      <c r="B43" s="97">
        <f>IF($A43="","",'Directional Survey'!B17)</f>
        <v/>
      </c>
      <c r="C43" s="96">
        <f>IF(OR($A43="",'Directional Survey'!A18=""),"",'Directional Survey'!A18-$A43)</f>
        <v/>
      </c>
      <c r="D43" s="97">
        <f>IF($C43="","",($B43+'Directional Survey'!B18)/2)</f>
        <v/>
      </c>
      <c r="E43" s="97">
        <f>IF($C43="","",RADIANS('Directional Survey'!B18-$B43))</f>
        <v/>
      </c>
      <c r="F43" s="97">
        <f>IF($C43="","",RADIANS('Directional Survey'!C18-'Directional Survey'!C17))</f>
        <v/>
      </c>
      <c r="G43" s="97">
        <f>IF($C43="","",$B$27*IF(($A43+$A43+$C43)/2&gt;$B$11-$B$17,$B$16,$B$15))</f>
        <v/>
      </c>
      <c r="H43" s="96">
        <f>IF($A43="","",IF($C43="",0,$H44+$G43*$C43*COS(RADIANS($D43))+IF(($A43+$C43/2)&lt;=$B$12,$B$18,$B$19)*SQRT(($H44*$F43*SIN(RADIANS($D43)))^2+($H44*$E43+$G43*$C43*SIN(RADIANS($D43)))^2)))</f>
        <v/>
      </c>
      <c r="I43" s="96">
        <f>IF($A43="","",IF($C43="",-$B$20*1000,$I44+$G43*$C43*COS(RADIANS($D43))-IF(($A43+$C43/2)&lt;=$B$12,$B$18,$B$19)*SQRT(($I44*$F43*SIN(RADIANS($D43)))^2+($I44*$E43+$G43*$C43*SIN(RADIANS($D43)))^2)))</f>
        <v/>
      </c>
      <c r="J43" s="96">
        <f>IF($A43="","",IF($C43="",-$B$20*1000,$J44+$G43*$C43*COS(RADIANS($D43))))</f>
        <v/>
      </c>
      <c r="K43" s="96">
        <f>IF($A43="","",IF($C43="",$B$21,$K44+IF(($A43+$C43/2)&lt;=$B$12,$B$18,$B$19)*SQRT(($J44*$F43*SIN(RADIANS($D43)))^2+($J44*$E43+$G43*$C43*SIN(RADIANS($D43)))^2)*$B$22/24))</f>
        <v/>
      </c>
      <c r="L43" s="96">
        <f>IF($C43="","",2*SQRT($B$26*$B$28*($G43/12)*SIN(RADIANS(MAX($D43,3)))/(IF($A43&lt;=$B$12,$B$14,$B$13)-$B$24)/2))</f>
        <v/>
      </c>
      <c r="M43" s="9">
        <f>IF($C43="","",IF($I43&lt;-1.41*$L43,"HELICAL BUCKLING - CHECK",IF($I43&lt;-$L43,"SINUSOIDAL - MARGINAL","")))</f>
        <v/>
      </c>
      <c r="N43" s="98">
        <f>IF($A43="",NA(),$A43)</f>
        <v/>
      </c>
      <c r="O43" s="98">
        <f>IF($A43="",NA(),$H43/1000)</f>
        <v/>
      </c>
      <c r="P43" s="98">
        <f>IF($A43="",NA(),$I43/1000)</f>
        <v/>
      </c>
      <c r="Q43" s="98">
        <f>IF($A43="",NA(),$J43/1000)</f>
        <v/>
      </c>
      <c r="R43" s="98">
        <f>IF($A43="",NA(),$K43/1000)</f>
        <v/>
      </c>
    </row>
    <row r="44">
      <c r="A44" s="96">
        <f>IF('Directional Survey'!A18="","",'Directional Survey'!A18)</f>
        <v/>
      </c>
      <c r="B44" s="97">
        <f>IF($A44="","",'Directional Survey'!B18)</f>
        <v/>
      </c>
      <c r="C44" s="96">
        <f>IF(OR($A44="",'Directional Survey'!A19=""),"",'Directional Survey'!A19-$A44)</f>
        <v/>
      </c>
      <c r="D44" s="97">
        <f>IF($C44="","",($B44+'Directional Survey'!B19)/2)</f>
        <v/>
      </c>
      <c r="E44" s="97">
        <f>IF($C44="","",RADIANS('Directional Survey'!B19-$B44))</f>
        <v/>
      </c>
      <c r="F44" s="97">
        <f>IF($C44="","",RADIANS('Directional Survey'!C19-'Directional Survey'!C18))</f>
        <v/>
      </c>
      <c r="G44" s="97">
        <f>IF($C44="","",$B$27*IF(($A44+$A44+$C44)/2&gt;$B$11-$B$17,$B$16,$B$15))</f>
        <v/>
      </c>
      <c r="H44" s="96">
        <f>IF($A44="","",IF($C44="",0,$H45+$G44*$C44*COS(RADIANS($D44))+IF(($A44+$C44/2)&lt;=$B$12,$B$18,$B$19)*SQRT(($H45*$F44*SIN(RADIANS($D44)))^2+($H45*$E44+$G44*$C44*SIN(RADIANS($D44)))^2)))</f>
        <v/>
      </c>
      <c r="I44" s="96">
        <f>IF($A44="","",IF($C44="",-$B$20*1000,$I45+$G44*$C44*COS(RADIANS($D44))-IF(($A44+$C44/2)&lt;=$B$12,$B$18,$B$19)*SQRT(($I45*$F44*SIN(RADIANS($D44)))^2+($I45*$E44+$G44*$C44*SIN(RADIANS($D44)))^2)))</f>
        <v/>
      </c>
      <c r="J44" s="96">
        <f>IF($A44="","",IF($C44="",-$B$20*1000,$J45+$G44*$C44*COS(RADIANS($D44))))</f>
        <v/>
      </c>
      <c r="K44" s="96">
        <f>IF($A44="","",IF($C44="",$B$21,$K45+IF(($A44+$C44/2)&lt;=$B$12,$B$18,$B$19)*SQRT(($J45*$F44*SIN(RADIANS($D44)))^2+($J45*$E44+$G44*$C44*SIN(RADIANS($D44)))^2)*$B$22/24))</f>
        <v/>
      </c>
      <c r="L44" s="96">
        <f>IF($C44="","",2*SQRT($B$26*$B$28*($G44/12)*SIN(RADIANS(MAX($D44,3)))/(IF($A44&lt;=$B$12,$B$14,$B$13)-$B$24)/2))</f>
        <v/>
      </c>
      <c r="M44" s="9">
        <f>IF($C44="","",IF($I44&lt;-1.41*$L44,"HELICAL BUCKLING - CHECK",IF($I44&lt;-$L44,"SINUSOIDAL - MARGINAL","")))</f>
        <v/>
      </c>
      <c r="N44" s="98">
        <f>IF($A44="",NA(),$A44)</f>
        <v/>
      </c>
      <c r="O44" s="98">
        <f>IF($A44="",NA(),$H44/1000)</f>
        <v/>
      </c>
      <c r="P44" s="98">
        <f>IF($A44="",NA(),$I44/1000)</f>
        <v/>
      </c>
      <c r="Q44" s="98">
        <f>IF($A44="",NA(),$J44/1000)</f>
        <v/>
      </c>
      <c r="R44" s="98">
        <f>IF($A44="",NA(),$K44/1000)</f>
        <v/>
      </c>
    </row>
    <row r="45">
      <c r="A45" s="96">
        <f>IF('Directional Survey'!A19="","",'Directional Survey'!A19)</f>
        <v/>
      </c>
      <c r="B45" s="97">
        <f>IF($A45="","",'Directional Survey'!B19)</f>
        <v/>
      </c>
      <c r="C45" s="96">
        <f>IF(OR($A45="",'Directional Survey'!A20=""),"",'Directional Survey'!A20-$A45)</f>
        <v/>
      </c>
      <c r="D45" s="97">
        <f>IF($C45="","",($B45+'Directional Survey'!B20)/2)</f>
        <v/>
      </c>
      <c r="E45" s="97">
        <f>IF($C45="","",RADIANS('Directional Survey'!B20-$B45))</f>
        <v/>
      </c>
      <c r="F45" s="97">
        <f>IF($C45="","",RADIANS('Directional Survey'!C20-'Directional Survey'!C19))</f>
        <v/>
      </c>
      <c r="G45" s="97">
        <f>IF($C45="","",$B$27*IF(($A45+$A45+$C45)/2&gt;$B$11-$B$17,$B$16,$B$15))</f>
        <v/>
      </c>
      <c r="H45" s="96">
        <f>IF($A45="","",IF($C45="",0,$H46+$G45*$C45*COS(RADIANS($D45))+IF(($A45+$C45/2)&lt;=$B$12,$B$18,$B$19)*SQRT(($H46*$F45*SIN(RADIANS($D45)))^2+($H46*$E45+$G45*$C45*SIN(RADIANS($D45)))^2)))</f>
        <v/>
      </c>
      <c r="I45" s="96">
        <f>IF($A45="","",IF($C45="",-$B$20*1000,$I46+$G45*$C45*COS(RADIANS($D45))-IF(($A45+$C45/2)&lt;=$B$12,$B$18,$B$19)*SQRT(($I46*$F45*SIN(RADIANS($D45)))^2+($I46*$E45+$G45*$C45*SIN(RADIANS($D45)))^2)))</f>
        <v/>
      </c>
      <c r="J45" s="96">
        <f>IF($A45="","",IF($C45="",-$B$20*1000,$J46+$G45*$C45*COS(RADIANS($D45))))</f>
        <v/>
      </c>
      <c r="K45" s="96">
        <f>IF($A45="","",IF($C45="",$B$21,$K46+IF(($A45+$C45/2)&lt;=$B$12,$B$18,$B$19)*SQRT(($J46*$F45*SIN(RADIANS($D45)))^2+($J46*$E45+$G45*$C45*SIN(RADIANS($D45)))^2)*$B$22/24))</f>
        <v/>
      </c>
      <c r="L45" s="96">
        <f>IF($C45="","",2*SQRT($B$26*$B$28*($G45/12)*SIN(RADIANS(MAX($D45,3)))/(IF($A45&lt;=$B$12,$B$14,$B$13)-$B$24)/2))</f>
        <v/>
      </c>
      <c r="M45" s="9">
        <f>IF($C45="","",IF($I45&lt;-1.41*$L45,"HELICAL BUCKLING - CHECK",IF($I45&lt;-$L45,"SINUSOIDAL - MARGINAL","")))</f>
        <v/>
      </c>
      <c r="N45" s="98">
        <f>IF($A45="",NA(),$A45)</f>
        <v/>
      </c>
      <c r="O45" s="98">
        <f>IF($A45="",NA(),$H45/1000)</f>
        <v/>
      </c>
      <c r="P45" s="98">
        <f>IF($A45="",NA(),$I45/1000)</f>
        <v/>
      </c>
      <c r="Q45" s="98">
        <f>IF($A45="",NA(),$J45/1000)</f>
        <v/>
      </c>
      <c r="R45" s="98">
        <f>IF($A45="",NA(),$K45/1000)</f>
        <v/>
      </c>
    </row>
    <row r="46">
      <c r="A46" s="96">
        <f>IF('Directional Survey'!A20="","",'Directional Survey'!A20)</f>
        <v/>
      </c>
      <c r="B46" s="97">
        <f>IF($A46="","",'Directional Survey'!B20)</f>
        <v/>
      </c>
      <c r="C46" s="96">
        <f>IF(OR($A46="",'Directional Survey'!A21=""),"",'Directional Survey'!A21-$A46)</f>
        <v/>
      </c>
      <c r="D46" s="97">
        <f>IF($C46="","",($B46+'Directional Survey'!B21)/2)</f>
        <v/>
      </c>
      <c r="E46" s="97">
        <f>IF($C46="","",RADIANS('Directional Survey'!B21-$B46))</f>
        <v/>
      </c>
      <c r="F46" s="97">
        <f>IF($C46="","",RADIANS('Directional Survey'!C21-'Directional Survey'!C20))</f>
        <v/>
      </c>
      <c r="G46" s="97">
        <f>IF($C46="","",$B$27*IF(($A46+$A46+$C46)/2&gt;$B$11-$B$17,$B$16,$B$15))</f>
        <v/>
      </c>
      <c r="H46" s="96">
        <f>IF($A46="","",IF($C46="",0,$H47+$G46*$C46*COS(RADIANS($D46))+IF(($A46+$C46/2)&lt;=$B$12,$B$18,$B$19)*SQRT(($H47*$F46*SIN(RADIANS($D46)))^2+($H47*$E46+$G46*$C46*SIN(RADIANS($D46)))^2)))</f>
        <v/>
      </c>
      <c r="I46" s="96">
        <f>IF($A46="","",IF($C46="",-$B$20*1000,$I47+$G46*$C46*COS(RADIANS($D46))-IF(($A46+$C46/2)&lt;=$B$12,$B$18,$B$19)*SQRT(($I47*$F46*SIN(RADIANS($D46)))^2+($I47*$E46+$G46*$C46*SIN(RADIANS($D46)))^2)))</f>
        <v/>
      </c>
      <c r="J46" s="96">
        <f>IF($A46="","",IF($C46="",-$B$20*1000,$J47+$G46*$C46*COS(RADIANS($D46))))</f>
        <v/>
      </c>
      <c r="K46" s="96">
        <f>IF($A46="","",IF($C46="",$B$21,$K47+IF(($A46+$C46/2)&lt;=$B$12,$B$18,$B$19)*SQRT(($J47*$F46*SIN(RADIANS($D46)))^2+($J47*$E46+$G46*$C46*SIN(RADIANS($D46)))^2)*$B$22/24))</f>
        <v/>
      </c>
      <c r="L46" s="96">
        <f>IF($C46="","",2*SQRT($B$26*$B$28*($G46/12)*SIN(RADIANS(MAX($D46,3)))/(IF($A46&lt;=$B$12,$B$14,$B$13)-$B$24)/2))</f>
        <v/>
      </c>
      <c r="M46" s="9">
        <f>IF($C46="","",IF($I46&lt;-1.41*$L46,"HELICAL BUCKLING - CHECK",IF($I46&lt;-$L46,"SINUSOIDAL - MARGINAL","")))</f>
        <v/>
      </c>
      <c r="N46" s="98">
        <f>IF($A46="",NA(),$A46)</f>
        <v/>
      </c>
      <c r="O46" s="98">
        <f>IF($A46="",NA(),$H46/1000)</f>
        <v/>
      </c>
      <c r="P46" s="98">
        <f>IF($A46="",NA(),$I46/1000)</f>
        <v/>
      </c>
      <c r="Q46" s="98">
        <f>IF($A46="",NA(),$J46/1000)</f>
        <v/>
      </c>
      <c r="R46" s="98">
        <f>IF($A46="",NA(),$K46/1000)</f>
        <v/>
      </c>
    </row>
    <row r="47">
      <c r="A47" s="96">
        <f>IF('Directional Survey'!A21="","",'Directional Survey'!A21)</f>
        <v/>
      </c>
      <c r="B47" s="97">
        <f>IF($A47="","",'Directional Survey'!B21)</f>
        <v/>
      </c>
      <c r="C47" s="96">
        <f>IF(OR($A47="",'Directional Survey'!A22=""),"",'Directional Survey'!A22-$A47)</f>
        <v/>
      </c>
      <c r="D47" s="97">
        <f>IF($C47="","",($B47+'Directional Survey'!B22)/2)</f>
        <v/>
      </c>
      <c r="E47" s="97">
        <f>IF($C47="","",RADIANS('Directional Survey'!B22-$B47))</f>
        <v/>
      </c>
      <c r="F47" s="97">
        <f>IF($C47="","",RADIANS('Directional Survey'!C22-'Directional Survey'!C21))</f>
        <v/>
      </c>
      <c r="G47" s="97">
        <f>IF($C47="","",$B$27*IF(($A47+$A47+$C47)/2&gt;$B$11-$B$17,$B$16,$B$15))</f>
        <v/>
      </c>
      <c r="H47" s="96">
        <f>IF($A47="","",IF($C47="",0,$H48+$G47*$C47*COS(RADIANS($D47))+IF(($A47+$C47/2)&lt;=$B$12,$B$18,$B$19)*SQRT(($H48*$F47*SIN(RADIANS($D47)))^2+($H48*$E47+$G47*$C47*SIN(RADIANS($D47)))^2)))</f>
        <v/>
      </c>
      <c r="I47" s="96">
        <f>IF($A47="","",IF($C47="",-$B$20*1000,$I48+$G47*$C47*COS(RADIANS($D47))-IF(($A47+$C47/2)&lt;=$B$12,$B$18,$B$19)*SQRT(($I48*$F47*SIN(RADIANS($D47)))^2+($I48*$E47+$G47*$C47*SIN(RADIANS($D47)))^2)))</f>
        <v/>
      </c>
      <c r="J47" s="96">
        <f>IF($A47="","",IF($C47="",-$B$20*1000,$J48+$G47*$C47*COS(RADIANS($D47))))</f>
        <v/>
      </c>
      <c r="K47" s="96">
        <f>IF($A47="","",IF($C47="",$B$21,$K48+IF(($A47+$C47/2)&lt;=$B$12,$B$18,$B$19)*SQRT(($J48*$F47*SIN(RADIANS($D47)))^2+($J48*$E47+$G47*$C47*SIN(RADIANS($D47)))^2)*$B$22/24))</f>
        <v/>
      </c>
      <c r="L47" s="96">
        <f>IF($C47="","",2*SQRT($B$26*$B$28*($G47/12)*SIN(RADIANS(MAX($D47,3)))/(IF($A47&lt;=$B$12,$B$14,$B$13)-$B$24)/2))</f>
        <v/>
      </c>
      <c r="M47" s="9">
        <f>IF($C47="","",IF($I47&lt;-1.41*$L47,"HELICAL BUCKLING - CHECK",IF($I47&lt;-$L47,"SINUSOIDAL - MARGINAL","")))</f>
        <v/>
      </c>
      <c r="N47" s="98">
        <f>IF($A47="",NA(),$A47)</f>
        <v/>
      </c>
      <c r="O47" s="98">
        <f>IF($A47="",NA(),$H47/1000)</f>
        <v/>
      </c>
      <c r="P47" s="98">
        <f>IF($A47="",NA(),$I47/1000)</f>
        <v/>
      </c>
      <c r="Q47" s="98">
        <f>IF($A47="",NA(),$J47/1000)</f>
        <v/>
      </c>
      <c r="R47" s="98">
        <f>IF($A47="",NA(),$K47/1000)</f>
        <v/>
      </c>
    </row>
    <row r="48">
      <c r="A48" s="96">
        <f>IF('Directional Survey'!A22="","",'Directional Survey'!A22)</f>
        <v/>
      </c>
      <c r="B48" s="97">
        <f>IF($A48="","",'Directional Survey'!B22)</f>
        <v/>
      </c>
      <c r="C48" s="96">
        <f>IF(OR($A48="",'Directional Survey'!A23=""),"",'Directional Survey'!A23-$A48)</f>
        <v/>
      </c>
      <c r="D48" s="97">
        <f>IF($C48="","",($B48+'Directional Survey'!B23)/2)</f>
        <v/>
      </c>
      <c r="E48" s="97">
        <f>IF($C48="","",RADIANS('Directional Survey'!B23-$B48))</f>
        <v/>
      </c>
      <c r="F48" s="97">
        <f>IF($C48="","",RADIANS('Directional Survey'!C23-'Directional Survey'!C22))</f>
        <v/>
      </c>
      <c r="G48" s="97">
        <f>IF($C48="","",$B$27*IF(($A48+$A48+$C48)/2&gt;$B$11-$B$17,$B$16,$B$15))</f>
        <v/>
      </c>
      <c r="H48" s="96">
        <f>IF($A48="","",IF($C48="",0,$H49+$G48*$C48*COS(RADIANS($D48))+IF(($A48+$C48/2)&lt;=$B$12,$B$18,$B$19)*SQRT(($H49*$F48*SIN(RADIANS($D48)))^2+($H49*$E48+$G48*$C48*SIN(RADIANS($D48)))^2)))</f>
        <v/>
      </c>
      <c r="I48" s="96">
        <f>IF($A48="","",IF($C48="",-$B$20*1000,$I49+$G48*$C48*COS(RADIANS($D48))-IF(($A48+$C48/2)&lt;=$B$12,$B$18,$B$19)*SQRT(($I49*$F48*SIN(RADIANS($D48)))^2+($I49*$E48+$G48*$C48*SIN(RADIANS($D48)))^2)))</f>
        <v/>
      </c>
      <c r="J48" s="96">
        <f>IF($A48="","",IF($C48="",-$B$20*1000,$J49+$G48*$C48*COS(RADIANS($D48))))</f>
        <v/>
      </c>
      <c r="K48" s="96">
        <f>IF($A48="","",IF($C48="",$B$21,$K49+IF(($A48+$C48/2)&lt;=$B$12,$B$18,$B$19)*SQRT(($J49*$F48*SIN(RADIANS($D48)))^2+($J49*$E48+$G48*$C48*SIN(RADIANS($D48)))^2)*$B$22/24))</f>
        <v/>
      </c>
      <c r="L48" s="96">
        <f>IF($C48="","",2*SQRT($B$26*$B$28*($G48/12)*SIN(RADIANS(MAX($D48,3)))/(IF($A48&lt;=$B$12,$B$14,$B$13)-$B$24)/2))</f>
        <v/>
      </c>
      <c r="M48" s="9">
        <f>IF($C48="","",IF($I48&lt;-1.41*$L48,"HELICAL BUCKLING - CHECK",IF($I48&lt;-$L48,"SINUSOIDAL - MARGINAL","")))</f>
        <v/>
      </c>
      <c r="N48" s="98">
        <f>IF($A48="",NA(),$A48)</f>
        <v/>
      </c>
      <c r="O48" s="98">
        <f>IF($A48="",NA(),$H48/1000)</f>
        <v/>
      </c>
      <c r="P48" s="98">
        <f>IF($A48="",NA(),$I48/1000)</f>
        <v/>
      </c>
      <c r="Q48" s="98">
        <f>IF($A48="",NA(),$J48/1000)</f>
        <v/>
      </c>
      <c r="R48" s="98">
        <f>IF($A48="",NA(),$K48/1000)</f>
        <v/>
      </c>
    </row>
    <row r="49">
      <c r="A49" s="96">
        <f>IF('Directional Survey'!A23="","",'Directional Survey'!A23)</f>
        <v/>
      </c>
      <c r="B49" s="97">
        <f>IF($A49="","",'Directional Survey'!B23)</f>
        <v/>
      </c>
      <c r="C49" s="96">
        <f>IF(OR($A49="",'Directional Survey'!A24=""),"",'Directional Survey'!A24-$A49)</f>
        <v/>
      </c>
      <c r="D49" s="97">
        <f>IF($C49="","",($B49+'Directional Survey'!B24)/2)</f>
        <v/>
      </c>
      <c r="E49" s="97">
        <f>IF($C49="","",RADIANS('Directional Survey'!B24-$B49))</f>
        <v/>
      </c>
      <c r="F49" s="97">
        <f>IF($C49="","",RADIANS('Directional Survey'!C24-'Directional Survey'!C23))</f>
        <v/>
      </c>
      <c r="G49" s="97">
        <f>IF($C49="","",$B$27*IF(($A49+$A49+$C49)/2&gt;$B$11-$B$17,$B$16,$B$15))</f>
        <v/>
      </c>
      <c r="H49" s="96">
        <f>IF($A49="","",IF($C49="",0,$H50+$G49*$C49*COS(RADIANS($D49))+IF(($A49+$C49/2)&lt;=$B$12,$B$18,$B$19)*SQRT(($H50*$F49*SIN(RADIANS($D49)))^2+($H50*$E49+$G49*$C49*SIN(RADIANS($D49)))^2)))</f>
        <v/>
      </c>
      <c r="I49" s="96">
        <f>IF($A49="","",IF($C49="",-$B$20*1000,$I50+$G49*$C49*COS(RADIANS($D49))-IF(($A49+$C49/2)&lt;=$B$12,$B$18,$B$19)*SQRT(($I50*$F49*SIN(RADIANS($D49)))^2+($I50*$E49+$G49*$C49*SIN(RADIANS($D49)))^2)))</f>
        <v/>
      </c>
      <c r="J49" s="96">
        <f>IF($A49="","",IF($C49="",-$B$20*1000,$J50+$G49*$C49*COS(RADIANS($D49))))</f>
        <v/>
      </c>
      <c r="K49" s="96">
        <f>IF($A49="","",IF($C49="",$B$21,$K50+IF(($A49+$C49/2)&lt;=$B$12,$B$18,$B$19)*SQRT(($J50*$F49*SIN(RADIANS($D49)))^2+($J50*$E49+$G49*$C49*SIN(RADIANS($D49)))^2)*$B$22/24))</f>
        <v/>
      </c>
      <c r="L49" s="96">
        <f>IF($C49="","",2*SQRT($B$26*$B$28*($G49/12)*SIN(RADIANS(MAX($D49,3)))/(IF($A49&lt;=$B$12,$B$14,$B$13)-$B$24)/2))</f>
        <v/>
      </c>
      <c r="M49" s="9">
        <f>IF($C49="","",IF($I49&lt;-1.41*$L49,"HELICAL BUCKLING - CHECK",IF($I49&lt;-$L49,"SINUSOIDAL - MARGINAL","")))</f>
        <v/>
      </c>
      <c r="N49" s="98">
        <f>IF($A49="",NA(),$A49)</f>
        <v/>
      </c>
      <c r="O49" s="98">
        <f>IF($A49="",NA(),$H49/1000)</f>
        <v/>
      </c>
      <c r="P49" s="98">
        <f>IF($A49="",NA(),$I49/1000)</f>
        <v/>
      </c>
      <c r="Q49" s="98">
        <f>IF($A49="",NA(),$J49/1000)</f>
        <v/>
      </c>
      <c r="R49" s="98">
        <f>IF($A49="",NA(),$K49/1000)</f>
        <v/>
      </c>
    </row>
    <row r="50">
      <c r="A50" s="96">
        <f>IF('Directional Survey'!A24="","",'Directional Survey'!A24)</f>
        <v/>
      </c>
      <c r="B50" s="97">
        <f>IF($A50="","",'Directional Survey'!B24)</f>
        <v/>
      </c>
      <c r="C50" s="96">
        <f>IF(OR($A50="",'Directional Survey'!A25=""),"",'Directional Survey'!A25-$A50)</f>
        <v/>
      </c>
      <c r="D50" s="97">
        <f>IF($C50="","",($B50+'Directional Survey'!B25)/2)</f>
        <v/>
      </c>
      <c r="E50" s="97">
        <f>IF($C50="","",RADIANS('Directional Survey'!B25-$B50))</f>
        <v/>
      </c>
      <c r="F50" s="97">
        <f>IF($C50="","",RADIANS('Directional Survey'!C25-'Directional Survey'!C24))</f>
        <v/>
      </c>
      <c r="G50" s="97">
        <f>IF($C50="","",$B$27*IF(($A50+$A50+$C50)/2&gt;$B$11-$B$17,$B$16,$B$15))</f>
        <v/>
      </c>
      <c r="H50" s="96">
        <f>IF($A50="","",IF($C50="",0,$H51+$G50*$C50*COS(RADIANS($D50))+IF(($A50+$C50/2)&lt;=$B$12,$B$18,$B$19)*SQRT(($H51*$F50*SIN(RADIANS($D50)))^2+($H51*$E50+$G50*$C50*SIN(RADIANS($D50)))^2)))</f>
        <v/>
      </c>
      <c r="I50" s="96">
        <f>IF($A50="","",IF($C50="",-$B$20*1000,$I51+$G50*$C50*COS(RADIANS($D50))-IF(($A50+$C50/2)&lt;=$B$12,$B$18,$B$19)*SQRT(($I51*$F50*SIN(RADIANS($D50)))^2+($I51*$E50+$G50*$C50*SIN(RADIANS($D50)))^2)))</f>
        <v/>
      </c>
      <c r="J50" s="96">
        <f>IF($A50="","",IF($C50="",-$B$20*1000,$J51+$G50*$C50*COS(RADIANS($D50))))</f>
        <v/>
      </c>
      <c r="K50" s="96">
        <f>IF($A50="","",IF($C50="",$B$21,$K51+IF(($A50+$C50/2)&lt;=$B$12,$B$18,$B$19)*SQRT(($J51*$F50*SIN(RADIANS($D50)))^2+($J51*$E50+$G50*$C50*SIN(RADIANS($D50)))^2)*$B$22/24))</f>
        <v/>
      </c>
      <c r="L50" s="96">
        <f>IF($C50="","",2*SQRT($B$26*$B$28*($G50/12)*SIN(RADIANS(MAX($D50,3)))/(IF($A50&lt;=$B$12,$B$14,$B$13)-$B$24)/2))</f>
        <v/>
      </c>
      <c r="M50" s="9">
        <f>IF($C50="","",IF($I50&lt;-1.41*$L50,"HELICAL BUCKLING - CHECK",IF($I50&lt;-$L50,"SINUSOIDAL - MARGINAL","")))</f>
        <v/>
      </c>
      <c r="N50" s="98">
        <f>IF($A50="",NA(),$A50)</f>
        <v/>
      </c>
      <c r="O50" s="98">
        <f>IF($A50="",NA(),$H50/1000)</f>
        <v/>
      </c>
      <c r="P50" s="98">
        <f>IF($A50="",NA(),$I50/1000)</f>
        <v/>
      </c>
      <c r="Q50" s="98">
        <f>IF($A50="",NA(),$J50/1000)</f>
        <v/>
      </c>
      <c r="R50" s="98">
        <f>IF($A50="",NA(),$K50/1000)</f>
        <v/>
      </c>
    </row>
    <row r="51">
      <c r="A51" s="96">
        <f>IF('Directional Survey'!A25="","",'Directional Survey'!A25)</f>
        <v/>
      </c>
      <c r="B51" s="97">
        <f>IF($A51="","",'Directional Survey'!B25)</f>
        <v/>
      </c>
      <c r="C51" s="96">
        <f>IF(OR($A51="",'Directional Survey'!A26=""),"",'Directional Survey'!A26-$A51)</f>
        <v/>
      </c>
      <c r="D51" s="97">
        <f>IF($C51="","",($B51+'Directional Survey'!B26)/2)</f>
        <v/>
      </c>
      <c r="E51" s="97">
        <f>IF($C51="","",RADIANS('Directional Survey'!B26-$B51))</f>
        <v/>
      </c>
      <c r="F51" s="97">
        <f>IF($C51="","",RADIANS('Directional Survey'!C26-'Directional Survey'!C25))</f>
        <v/>
      </c>
      <c r="G51" s="97">
        <f>IF($C51="","",$B$27*IF(($A51+$A51+$C51)/2&gt;$B$11-$B$17,$B$16,$B$15))</f>
        <v/>
      </c>
      <c r="H51" s="96">
        <f>IF($A51="","",IF($C51="",0,$H52+$G51*$C51*COS(RADIANS($D51))+IF(($A51+$C51/2)&lt;=$B$12,$B$18,$B$19)*SQRT(($H52*$F51*SIN(RADIANS($D51)))^2+($H52*$E51+$G51*$C51*SIN(RADIANS($D51)))^2)))</f>
        <v/>
      </c>
      <c r="I51" s="96">
        <f>IF($A51="","",IF($C51="",-$B$20*1000,$I52+$G51*$C51*COS(RADIANS($D51))-IF(($A51+$C51/2)&lt;=$B$12,$B$18,$B$19)*SQRT(($I52*$F51*SIN(RADIANS($D51)))^2+($I52*$E51+$G51*$C51*SIN(RADIANS($D51)))^2)))</f>
        <v/>
      </c>
      <c r="J51" s="96">
        <f>IF($A51="","",IF($C51="",-$B$20*1000,$J52+$G51*$C51*COS(RADIANS($D51))))</f>
        <v/>
      </c>
      <c r="K51" s="96">
        <f>IF($A51="","",IF($C51="",$B$21,$K52+IF(($A51+$C51/2)&lt;=$B$12,$B$18,$B$19)*SQRT(($J52*$F51*SIN(RADIANS($D51)))^2+($J52*$E51+$G51*$C51*SIN(RADIANS($D51)))^2)*$B$22/24))</f>
        <v/>
      </c>
      <c r="L51" s="96">
        <f>IF($C51="","",2*SQRT($B$26*$B$28*($G51/12)*SIN(RADIANS(MAX($D51,3)))/(IF($A51&lt;=$B$12,$B$14,$B$13)-$B$24)/2))</f>
        <v/>
      </c>
      <c r="M51" s="9">
        <f>IF($C51="","",IF($I51&lt;-1.41*$L51,"HELICAL BUCKLING - CHECK",IF($I51&lt;-$L51,"SINUSOIDAL - MARGINAL","")))</f>
        <v/>
      </c>
      <c r="N51" s="98">
        <f>IF($A51="",NA(),$A51)</f>
        <v/>
      </c>
      <c r="O51" s="98">
        <f>IF($A51="",NA(),$H51/1000)</f>
        <v/>
      </c>
      <c r="P51" s="98">
        <f>IF($A51="",NA(),$I51/1000)</f>
        <v/>
      </c>
      <c r="Q51" s="98">
        <f>IF($A51="",NA(),$J51/1000)</f>
        <v/>
      </c>
      <c r="R51" s="98">
        <f>IF($A51="",NA(),$K51/1000)</f>
        <v/>
      </c>
    </row>
    <row r="52">
      <c r="A52" s="96">
        <f>IF('Directional Survey'!A26="","",'Directional Survey'!A26)</f>
        <v/>
      </c>
      <c r="B52" s="97">
        <f>IF($A52="","",'Directional Survey'!B26)</f>
        <v/>
      </c>
      <c r="C52" s="96">
        <f>IF(OR($A52="",'Directional Survey'!A27=""),"",'Directional Survey'!A27-$A52)</f>
        <v/>
      </c>
      <c r="D52" s="97">
        <f>IF($C52="","",($B52+'Directional Survey'!B27)/2)</f>
        <v/>
      </c>
      <c r="E52" s="97">
        <f>IF($C52="","",RADIANS('Directional Survey'!B27-$B52))</f>
        <v/>
      </c>
      <c r="F52" s="97">
        <f>IF($C52="","",RADIANS('Directional Survey'!C27-'Directional Survey'!C26))</f>
        <v/>
      </c>
      <c r="G52" s="97">
        <f>IF($C52="","",$B$27*IF(($A52+$A52+$C52)/2&gt;$B$11-$B$17,$B$16,$B$15))</f>
        <v/>
      </c>
      <c r="H52" s="96">
        <f>IF($A52="","",IF($C52="",0,$H53+$G52*$C52*COS(RADIANS($D52))+IF(($A52+$C52/2)&lt;=$B$12,$B$18,$B$19)*SQRT(($H53*$F52*SIN(RADIANS($D52)))^2+($H53*$E52+$G52*$C52*SIN(RADIANS($D52)))^2)))</f>
        <v/>
      </c>
      <c r="I52" s="96">
        <f>IF($A52="","",IF($C52="",-$B$20*1000,$I53+$G52*$C52*COS(RADIANS($D52))-IF(($A52+$C52/2)&lt;=$B$12,$B$18,$B$19)*SQRT(($I53*$F52*SIN(RADIANS($D52)))^2+($I53*$E52+$G52*$C52*SIN(RADIANS($D52)))^2)))</f>
        <v/>
      </c>
      <c r="J52" s="96">
        <f>IF($A52="","",IF($C52="",-$B$20*1000,$J53+$G52*$C52*COS(RADIANS($D52))))</f>
        <v/>
      </c>
      <c r="K52" s="96">
        <f>IF($A52="","",IF($C52="",$B$21,$K53+IF(($A52+$C52/2)&lt;=$B$12,$B$18,$B$19)*SQRT(($J53*$F52*SIN(RADIANS($D52)))^2+($J53*$E52+$G52*$C52*SIN(RADIANS($D52)))^2)*$B$22/24))</f>
        <v/>
      </c>
      <c r="L52" s="96">
        <f>IF($C52="","",2*SQRT($B$26*$B$28*($G52/12)*SIN(RADIANS(MAX($D52,3)))/(IF($A52&lt;=$B$12,$B$14,$B$13)-$B$24)/2))</f>
        <v/>
      </c>
      <c r="M52" s="9">
        <f>IF($C52="","",IF($I52&lt;-1.41*$L52,"HELICAL BUCKLING - CHECK",IF($I52&lt;-$L52,"SINUSOIDAL - MARGINAL","")))</f>
        <v/>
      </c>
      <c r="N52" s="98">
        <f>IF($A52="",NA(),$A52)</f>
        <v/>
      </c>
      <c r="O52" s="98">
        <f>IF($A52="",NA(),$H52/1000)</f>
        <v/>
      </c>
      <c r="P52" s="98">
        <f>IF($A52="",NA(),$I52/1000)</f>
        <v/>
      </c>
      <c r="Q52" s="98">
        <f>IF($A52="",NA(),$J52/1000)</f>
        <v/>
      </c>
      <c r="R52" s="98">
        <f>IF($A52="",NA(),$K52/1000)</f>
        <v/>
      </c>
    </row>
    <row r="53">
      <c r="A53" s="96">
        <f>IF('Directional Survey'!A27="","",'Directional Survey'!A27)</f>
        <v/>
      </c>
      <c r="B53" s="97">
        <f>IF($A53="","",'Directional Survey'!B27)</f>
        <v/>
      </c>
      <c r="C53" s="96">
        <f>IF(OR($A53="",'Directional Survey'!A28=""),"",'Directional Survey'!A28-$A53)</f>
        <v/>
      </c>
      <c r="D53" s="97">
        <f>IF($C53="","",($B53+'Directional Survey'!B28)/2)</f>
        <v/>
      </c>
      <c r="E53" s="97">
        <f>IF($C53="","",RADIANS('Directional Survey'!B28-$B53))</f>
        <v/>
      </c>
      <c r="F53" s="97">
        <f>IF($C53="","",RADIANS('Directional Survey'!C28-'Directional Survey'!C27))</f>
        <v/>
      </c>
      <c r="G53" s="97">
        <f>IF($C53="","",$B$27*IF(($A53+$A53+$C53)/2&gt;$B$11-$B$17,$B$16,$B$15))</f>
        <v/>
      </c>
      <c r="H53" s="96">
        <f>IF($A53="","",IF($C53="",0,$H54+$G53*$C53*COS(RADIANS($D53))+IF(($A53+$C53/2)&lt;=$B$12,$B$18,$B$19)*SQRT(($H54*$F53*SIN(RADIANS($D53)))^2+($H54*$E53+$G53*$C53*SIN(RADIANS($D53)))^2)))</f>
        <v/>
      </c>
      <c r="I53" s="96">
        <f>IF($A53="","",IF($C53="",-$B$20*1000,$I54+$G53*$C53*COS(RADIANS($D53))-IF(($A53+$C53/2)&lt;=$B$12,$B$18,$B$19)*SQRT(($I54*$F53*SIN(RADIANS($D53)))^2+($I54*$E53+$G53*$C53*SIN(RADIANS($D53)))^2)))</f>
        <v/>
      </c>
      <c r="J53" s="96">
        <f>IF($A53="","",IF($C53="",-$B$20*1000,$J54+$G53*$C53*COS(RADIANS($D53))))</f>
        <v/>
      </c>
      <c r="K53" s="96">
        <f>IF($A53="","",IF($C53="",$B$21,$K54+IF(($A53+$C53/2)&lt;=$B$12,$B$18,$B$19)*SQRT(($J54*$F53*SIN(RADIANS($D53)))^2+($J54*$E53+$G53*$C53*SIN(RADIANS($D53)))^2)*$B$22/24))</f>
        <v/>
      </c>
      <c r="L53" s="96">
        <f>IF($C53="","",2*SQRT($B$26*$B$28*($G53/12)*SIN(RADIANS(MAX($D53,3)))/(IF($A53&lt;=$B$12,$B$14,$B$13)-$B$24)/2))</f>
        <v/>
      </c>
      <c r="M53" s="9">
        <f>IF($C53="","",IF($I53&lt;-1.41*$L53,"HELICAL BUCKLING - CHECK",IF($I53&lt;-$L53,"SINUSOIDAL - MARGINAL","")))</f>
        <v/>
      </c>
      <c r="N53" s="98">
        <f>IF($A53="",NA(),$A53)</f>
        <v/>
      </c>
      <c r="O53" s="98">
        <f>IF($A53="",NA(),$H53/1000)</f>
        <v/>
      </c>
      <c r="P53" s="98">
        <f>IF($A53="",NA(),$I53/1000)</f>
        <v/>
      </c>
      <c r="Q53" s="98">
        <f>IF($A53="",NA(),$J53/1000)</f>
        <v/>
      </c>
      <c r="R53" s="98">
        <f>IF($A53="",NA(),$K53/1000)</f>
        <v/>
      </c>
    </row>
    <row r="54">
      <c r="A54" s="96">
        <f>IF('Directional Survey'!A28="","",'Directional Survey'!A28)</f>
        <v/>
      </c>
      <c r="B54" s="97">
        <f>IF($A54="","",'Directional Survey'!B28)</f>
        <v/>
      </c>
      <c r="C54" s="96">
        <f>IF(OR($A54="",'Directional Survey'!A29=""),"",'Directional Survey'!A29-$A54)</f>
        <v/>
      </c>
      <c r="D54" s="97">
        <f>IF($C54="","",($B54+'Directional Survey'!B29)/2)</f>
        <v/>
      </c>
      <c r="E54" s="97">
        <f>IF($C54="","",RADIANS('Directional Survey'!B29-$B54))</f>
        <v/>
      </c>
      <c r="F54" s="97">
        <f>IF($C54="","",RADIANS('Directional Survey'!C29-'Directional Survey'!C28))</f>
        <v/>
      </c>
      <c r="G54" s="97">
        <f>IF($C54="","",$B$27*IF(($A54+$A54+$C54)/2&gt;$B$11-$B$17,$B$16,$B$15))</f>
        <v/>
      </c>
      <c r="H54" s="96">
        <f>IF($A54="","",IF($C54="",0,$H55+$G54*$C54*COS(RADIANS($D54))+IF(($A54+$C54/2)&lt;=$B$12,$B$18,$B$19)*SQRT(($H55*$F54*SIN(RADIANS($D54)))^2+($H55*$E54+$G54*$C54*SIN(RADIANS($D54)))^2)))</f>
        <v/>
      </c>
      <c r="I54" s="96">
        <f>IF($A54="","",IF($C54="",-$B$20*1000,$I55+$G54*$C54*COS(RADIANS($D54))-IF(($A54+$C54/2)&lt;=$B$12,$B$18,$B$19)*SQRT(($I55*$F54*SIN(RADIANS($D54)))^2+($I55*$E54+$G54*$C54*SIN(RADIANS($D54)))^2)))</f>
        <v/>
      </c>
      <c r="J54" s="96">
        <f>IF($A54="","",IF($C54="",-$B$20*1000,$J55+$G54*$C54*COS(RADIANS($D54))))</f>
        <v/>
      </c>
      <c r="K54" s="96">
        <f>IF($A54="","",IF($C54="",$B$21,$K55+IF(($A54+$C54/2)&lt;=$B$12,$B$18,$B$19)*SQRT(($J55*$F54*SIN(RADIANS($D54)))^2+($J55*$E54+$G54*$C54*SIN(RADIANS($D54)))^2)*$B$22/24))</f>
        <v/>
      </c>
      <c r="L54" s="96">
        <f>IF($C54="","",2*SQRT($B$26*$B$28*($G54/12)*SIN(RADIANS(MAX($D54,3)))/(IF($A54&lt;=$B$12,$B$14,$B$13)-$B$24)/2))</f>
        <v/>
      </c>
      <c r="M54" s="9">
        <f>IF($C54="","",IF($I54&lt;-1.41*$L54,"HELICAL BUCKLING - CHECK",IF($I54&lt;-$L54,"SINUSOIDAL - MARGINAL","")))</f>
        <v/>
      </c>
      <c r="N54" s="98">
        <f>IF($A54="",NA(),$A54)</f>
        <v/>
      </c>
      <c r="O54" s="98">
        <f>IF($A54="",NA(),$H54/1000)</f>
        <v/>
      </c>
      <c r="P54" s="98">
        <f>IF($A54="",NA(),$I54/1000)</f>
        <v/>
      </c>
      <c r="Q54" s="98">
        <f>IF($A54="",NA(),$J54/1000)</f>
        <v/>
      </c>
      <c r="R54" s="98">
        <f>IF($A54="",NA(),$K54/1000)</f>
        <v/>
      </c>
    </row>
    <row r="55">
      <c r="A55" s="96">
        <f>IF('Directional Survey'!A29="","",'Directional Survey'!A29)</f>
        <v/>
      </c>
      <c r="B55" s="97">
        <f>IF($A55="","",'Directional Survey'!B29)</f>
        <v/>
      </c>
      <c r="C55" s="96">
        <f>IF(OR($A55="",'Directional Survey'!A30=""),"",'Directional Survey'!A30-$A55)</f>
        <v/>
      </c>
      <c r="D55" s="97">
        <f>IF($C55="","",($B55+'Directional Survey'!B30)/2)</f>
        <v/>
      </c>
      <c r="E55" s="97">
        <f>IF($C55="","",RADIANS('Directional Survey'!B30-$B55))</f>
        <v/>
      </c>
      <c r="F55" s="97">
        <f>IF($C55="","",RADIANS('Directional Survey'!C30-'Directional Survey'!C29))</f>
        <v/>
      </c>
      <c r="G55" s="97">
        <f>IF($C55="","",$B$27*IF(($A55+$A55+$C55)/2&gt;$B$11-$B$17,$B$16,$B$15))</f>
        <v/>
      </c>
      <c r="H55" s="96">
        <f>IF($A55="","",IF($C55="",0,$H56+$G55*$C55*COS(RADIANS($D55))+IF(($A55+$C55/2)&lt;=$B$12,$B$18,$B$19)*SQRT(($H56*$F55*SIN(RADIANS($D55)))^2+($H56*$E55+$G55*$C55*SIN(RADIANS($D55)))^2)))</f>
        <v/>
      </c>
      <c r="I55" s="96">
        <f>IF($A55="","",IF($C55="",-$B$20*1000,$I56+$G55*$C55*COS(RADIANS($D55))-IF(($A55+$C55/2)&lt;=$B$12,$B$18,$B$19)*SQRT(($I56*$F55*SIN(RADIANS($D55)))^2+($I56*$E55+$G55*$C55*SIN(RADIANS($D55)))^2)))</f>
        <v/>
      </c>
      <c r="J55" s="96">
        <f>IF($A55="","",IF($C55="",-$B$20*1000,$J56+$G55*$C55*COS(RADIANS($D55))))</f>
        <v/>
      </c>
      <c r="K55" s="96">
        <f>IF($A55="","",IF($C55="",$B$21,$K56+IF(($A55+$C55/2)&lt;=$B$12,$B$18,$B$19)*SQRT(($J56*$F55*SIN(RADIANS($D55)))^2+($J56*$E55+$G55*$C55*SIN(RADIANS($D55)))^2)*$B$22/24))</f>
        <v/>
      </c>
      <c r="L55" s="96">
        <f>IF($C55="","",2*SQRT($B$26*$B$28*($G55/12)*SIN(RADIANS(MAX($D55,3)))/(IF($A55&lt;=$B$12,$B$14,$B$13)-$B$24)/2))</f>
        <v/>
      </c>
      <c r="M55" s="9">
        <f>IF($C55="","",IF($I55&lt;-1.41*$L55,"HELICAL BUCKLING - CHECK",IF($I55&lt;-$L55,"SINUSOIDAL - MARGINAL","")))</f>
        <v/>
      </c>
      <c r="N55" s="98">
        <f>IF($A55="",NA(),$A55)</f>
        <v/>
      </c>
      <c r="O55" s="98">
        <f>IF($A55="",NA(),$H55/1000)</f>
        <v/>
      </c>
      <c r="P55" s="98">
        <f>IF($A55="",NA(),$I55/1000)</f>
        <v/>
      </c>
      <c r="Q55" s="98">
        <f>IF($A55="",NA(),$J55/1000)</f>
        <v/>
      </c>
      <c r="R55" s="98">
        <f>IF($A55="",NA(),$K55/1000)</f>
        <v/>
      </c>
    </row>
    <row r="56">
      <c r="A56" s="96">
        <f>IF('Directional Survey'!A30="","",'Directional Survey'!A30)</f>
        <v/>
      </c>
      <c r="B56" s="97">
        <f>IF($A56="","",'Directional Survey'!B30)</f>
        <v/>
      </c>
      <c r="C56" s="96">
        <f>IF(OR($A56="",'Directional Survey'!A31=""),"",'Directional Survey'!A31-$A56)</f>
        <v/>
      </c>
      <c r="D56" s="97">
        <f>IF($C56="","",($B56+'Directional Survey'!B31)/2)</f>
        <v/>
      </c>
      <c r="E56" s="97">
        <f>IF($C56="","",RADIANS('Directional Survey'!B31-$B56))</f>
        <v/>
      </c>
      <c r="F56" s="97">
        <f>IF($C56="","",RADIANS('Directional Survey'!C31-'Directional Survey'!C30))</f>
        <v/>
      </c>
      <c r="G56" s="97">
        <f>IF($C56="","",$B$27*IF(($A56+$A56+$C56)/2&gt;$B$11-$B$17,$B$16,$B$15))</f>
        <v/>
      </c>
      <c r="H56" s="96">
        <f>IF($A56="","",IF($C56="",0,$H57+$G56*$C56*COS(RADIANS($D56))+IF(($A56+$C56/2)&lt;=$B$12,$B$18,$B$19)*SQRT(($H57*$F56*SIN(RADIANS($D56)))^2+($H57*$E56+$G56*$C56*SIN(RADIANS($D56)))^2)))</f>
        <v/>
      </c>
      <c r="I56" s="96">
        <f>IF($A56="","",IF($C56="",-$B$20*1000,$I57+$G56*$C56*COS(RADIANS($D56))-IF(($A56+$C56/2)&lt;=$B$12,$B$18,$B$19)*SQRT(($I57*$F56*SIN(RADIANS($D56)))^2+($I57*$E56+$G56*$C56*SIN(RADIANS($D56)))^2)))</f>
        <v/>
      </c>
      <c r="J56" s="96">
        <f>IF($A56="","",IF($C56="",-$B$20*1000,$J57+$G56*$C56*COS(RADIANS($D56))))</f>
        <v/>
      </c>
      <c r="K56" s="96">
        <f>IF($A56="","",IF($C56="",$B$21,$K57+IF(($A56+$C56/2)&lt;=$B$12,$B$18,$B$19)*SQRT(($J57*$F56*SIN(RADIANS($D56)))^2+($J57*$E56+$G56*$C56*SIN(RADIANS($D56)))^2)*$B$22/24))</f>
        <v/>
      </c>
      <c r="L56" s="96">
        <f>IF($C56="","",2*SQRT($B$26*$B$28*($G56/12)*SIN(RADIANS(MAX($D56,3)))/(IF($A56&lt;=$B$12,$B$14,$B$13)-$B$24)/2))</f>
        <v/>
      </c>
      <c r="M56" s="9">
        <f>IF($C56="","",IF($I56&lt;-1.41*$L56,"HELICAL BUCKLING - CHECK",IF($I56&lt;-$L56,"SINUSOIDAL - MARGINAL","")))</f>
        <v/>
      </c>
      <c r="N56" s="98">
        <f>IF($A56="",NA(),$A56)</f>
        <v/>
      </c>
      <c r="O56" s="98">
        <f>IF($A56="",NA(),$H56/1000)</f>
        <v/>
      </c>
      <c r="P56" s="98">
        <f>IF($A56="",NA(),$I56/1000)</f>
        <v/>
      </c>
      <c r="Q56" s="98">
        <f>IF($A56="",NA(),$J56/1000)</f>
        <v/>
      </c>
      <c r="R56" s="98">
        <f>IF($A56="",NA(),$K56/1000)</f>
        <v/>
      </c>
    </row>
    <row r="57">
      <c r="A57" s="96">
        <f>IF('Directional Survey'!A31="","",'Directional Survey'!A31)</f>
        <v/>
      </c>
      <c r="B57" s="97">
        <f>IF($A57="","",'Directional Survey'!B31)</f>
        <v/>
      </c>
      <c r="C57" s="96">
        <f>IF(OR($A57="",'Directional Survey'!A32=""),"",'Directional Survey'!A32-$A57)</f>
        <v/>
      </c>
      <c r="D57" s="97">
        <f>IF($C57="","",($B57+'Directional Survey'!B32)/2)</f>
        <v/>
      </c>
      <c r="E57" s="97">
        <f>IF($C57="","",RADIANS('Directional Survey'!B32-$B57))</f>
        <v/>
      </c>
      <c r="F57" s="97">
        <f>IF($C57="","",RADIANS('Directional Survey'!C32-'Directional Survey'!C31))</f>
        <v/>
      </c>
      <c r="G57" s="97">
        <f>IF($C57="","",$B$27*IF(($A57+$A57+$C57)/2&gt;$B$11-$B$17,$B$16,$B$15))</f>
        <v/>
      </c>
      <c r="H57" s="96">
        <f>IF($A57="","",IF($C57="",0,$H58+$G57*$C57*COS(RADIANS($D57))+IF(($A57+$C57/2)&lt;=$B$12,$B$18,$B$19)*SQRT(($H58*$F57*SIN(RADIANS($D57)))^2+($H58*$E57+$G57*$C57*SIN(RADIANS($D57)))^2)))</f>
        <v/>
      </c>
      <c r="I57" s="96">
        <f>IF($A57="","",IF($C57="",-$B$20*1000,$I58+$G57*$C57*COS(RADIANS($D57))-IF(($A57+$C57/2)&lt;=$B$12,$B$18,$B$19)*SQRT(($I58*$F57*SIN(RADIANS($D57)))^2+($I58*$E57+$G57*$C57*SIN(RADIANS($D57)))^2)))</f>
        <v/>
      </c>
      <c r="J57" s="96">
        <f>IF($A57="","",IF($C57="",-$B$20*1000,$J58+$G57*$C57*COS(RADIANS($D57))))</f>
        <v/>
      </c>
      <c r="K57" s="96">
        <f>IF($A57="","",IF($C57="",$B$21,$K58+IF(($A57+$C57/2)&lt;=$B$12,$B$18,$B$19)*SQRT(($J58*$F57*SIN(RADIANS($D57)))^2+($J58*$E57+$G57*$C57*SIN(RADIANS($D57)))^2)*$B$22/24))</f>
        <v/>
      </c>
      <c r="L57" s="96">
        <f>IF($C57="","",2*SQRT($B$26*$B$28*($G57/12)*SIN(RADIANS(MAX($D57,3)))/(IF($A57&lt;=$B$12,$B$14,$B$13)-$B$24)/2))</f>
        <v/>
      </c>
      <c r="M57" s="9">
        <f>IF($C57="","",IF($I57&lt;-1.41*$L57,"HELICAL BUCKLING - CHECK",IF($I57&lt;-$L57,"SINUSOIDAL - MARGINAL","")))</f>
        <v/>
      </c>
      <c r="N57" s="98">
        <f>IF($A57="",NA(),$A57)</f>
        <v/>
      </c>
      <c r="O57" s="98">
        <f>IF($A57="",NA(),$H57/1000)</f>
        <v/>
      </c>
      <c r="P57" s="98">
        <f>IF($A57="",NA(),$I57/1000)</f>
        <v/>
      </c>
      <c r="Q57" s="98">
        <f>IF($A57="",NA(),$J57/1000)</f>
        <v/>
      </c>
      <c r="R57" s="98">
        <f>IF($A57="",NA(),$K57/1000)</f>
        <v/>
      </c>
    </row>
    <row r="58">
      <c r="A58" s="96">
        <f>IF('Directional Survey'!A32="","",'Directional Survey'!A32)</f>
        <v/>
      </c>
      <c r="B58" s="97">
        <f>IF($A58="","",'Directional Survey'!B32)</f>
        <v/>
      </c>
      <c r="C58" s="96">
        <f>IF(OR($A58="",'Directional Survey'!A33=""),"",'Directional Survey'!A33-$A58)</f>
        <v/>
      </c>
      <c r="D58" s="97">
        <f>IF($C58="","",($B58+'Directional Survey'!B33)/2)</f>
        <v/>
      </c>
      <c r="E58" s="97">
        <f>IF($C58="","",RADIANS('Directional Survey'!B33-$B58))</f>
        <v/>
      </c>
      <c r="F58" s="97">
        <f>IF($C58="","",RADIANS('Directional Survey'!C33-'Directional Survey'!C32))</f>
        <v/>
      </c>
      <c r="G58" s="97">
        <f>IF($C58="","",$B$27*IF(($A58+$A58+$C58)/2&gt;$B$11-$B$17,$B$16,$B$15))</f>
        <v/>
      </c>
      <c r="H58" s="96">
        <f>IF($A58="","",IF($C58="",0,$H59+$G58*$C58*COS(RADIANS($D58))+IF(($A58+$C58/2)&lt;=$B$12,$B$18,$B$19)*SQRT(($H59*$F58*SIN(RADIANS($D58)))^2+($H59*$E58+$G58*$C58*SIN(RADIANS($D58)))^2)))</f>
        <v/>
      </c>
      <c r="I58" s="96">
        <f>IF($A58="","",IF($C58="",-$B$20*1000,$I59+$G58*$C58*COS(RADIANS($D58))-IF(($A58+$C58/2)&lt;=$B$12,$B$18,$B$19)*SQRT(($I59*$F58*SIN(RADIANS($D58)))^2+($I59*$E58+$G58*$C58*SIN(RADIANS($D58)))^2)))</f>
        <v/>
      </c>
      <c r="J58" s="96">
        <f>IF($A58="","",IF($C58="",-$B$20*1000,$J59+$G58*$C58*COS(RADIANS($D58))))</f>
        <v/>
      </c>
      <c r="K58" s="96">
        <f>IF($A58="","",IF($C58="",$B$21,$K59+IF(($A58+$C58/2)&lt;=$B$12,$B$18,$B$19)*SQRT(($J59*$F58*SIN(RADIANS($D58)))^2+($J59*$E58+$G58*$C58*SIN(RADIANS($D58)))^2)*$B$22/24))</f>
        <v/>
      </c>
      <c r="L58" s="96">
        <f>IF($C58="","",2*SQRT($B$26*$B$28*($G58/12)*SIN(RADIANS(MAX($D58,3)))/(IF($A58&lt;=$B$12,$B$14,$B$13)-$B$24)/2))</f>
        <v/>
      </c>
      <c r="M58" s="9">
        <f>IF($C58="","",IF($I58&lt;-1.41*$L58,"HELICAL BUCKLING - CHECK",IF($I58&lt;-$L58,"SINUSOIDAL - MARGINAL","")))</f>
        <v/>
      </c>
      <c r="N58" s="98">
        <f>IF($A58="",NA(),$A58)</f>
        <v/>
      </c>
      <c r="O58" s="98">
        <f>IF($A58="",NA(),$H58/1000)</f>
        <v/>
      </c>
      <c r="P58" s="98">
        <f>IF($A58="",NA(),$I58/1000)</f>
        <v/>
      </c>
      <c r="Q58" s="98">
        <f>IF($A58="",NA(),$J58/1000)</f>
        <v/>
      </c>
      <c r="R58" s="98">
        <f>IF($A58="",NA(),$K58/1000)</f>
        <v/>
      </c>
    </row>
    <row r="59">
      <c r="A59" s="96">
        <f>IF('Directional Survey'!A33="","",'Directional Survey'!A33)</f>
        <v/>
      </c>
      <c r="B59" s="97">
        <f>IF($A59="","",'Directional Survey'!B33)</f>
        <v/>
      </c>
      <c r="C59" s="96">
        <f>IF(OR($A59="",'Directional Survey'!A34=""),"",'Directional Survey'!A34-$A59)</f>
        <v/>
      </c>
      <c r="D59" s="97">
        <f>IF($C59="","",($B59+'Directional Survey'!B34)/2)</f>
        <v/>
      </c>
      <c r="E59" s="97">
        <f>IF($C59="","",RADIANS('Directional Survey'!B34-$B59))</f>
        <v/>
      </c>
      <c r="F59" s="97">
        <f>IF($C59="","",RADIANS('Directional Survey'!C34-'Directional Survey'!C33))</f>
        <v/>
      </c>
      <c r="G59" s="97">
        <f>IF($C59="","",$B$27*IF(($A59+$A59+$C59)/2&gt;$B$11-$B$17,$B$16,$B$15))</f>
        <v/>
      </c>
      <c r="H59" s="96">
        <f>IF($A59="","",IF($C59="",0,$H60+$G59*$C59*COS(RADIANS($D59))+IF(($A59+$C59/2)&lt;=$B$12,$B$18,$B$19)*SQRT(($H60*$F59*SIN(RADIANS($D59)))^2+($H60*$E59+$G59*$C59*SIN(RADIANS($D59)))^2)))</f>
        <v/>
      </c>
      <c r="I59" s="96">
        <f>IF($A59="","",IF($C59="",-$B$20*1000,$I60+$G59*$C59*COS(RADIANS($D59))-IF(($A59+$C59/2)&lt;=$B$12,$B$18,$B$19)*SQRT(($I60*$F59*SIN(RADIANS($D59)))^2+($I60*$E59+$G59*$C59*SIN(RADIANS($D59)))^2)))</f>
        <v/>
      </c>
      <c r="J59" s="96">
        <f>IF($A59="","",IF($C59="",-$B$20*1000,$J60+$G59*$C59*COS(RADIANS($D59))))</f>
        <v/>
      </c>
      <c r="K59" s="96">
        <f>IF($A59="","",IF($C59="",$B$21,$K60+IF(($A59+$C59/2)&lt;=$B$12,$B$18,$B$19)*SQRT(($J60*$F59*SIN(RADIANS($D59)))^2+($J60*$E59+$G59*$C59*SIN(RADIANS($D59)))^2)*$B$22/24))</f>
        <v/>
      </c>
      <c r="L59" s="96">
        <f>IF($C59="","",2*SQRT($B$26*$B$28*($G59/12)*SIN(RADIANS(MAX($D59,3)))/(IF($A59&lt;=$B$12,$B$14,$B$13)-$B$24)/2))</f>
        <v/>
      </c>
      <c r="M59" s="9">
        <f>IF($C59="","",IF($I59&lt;-1.41*$L59,"HELICAL BUCKLING - CHECK",IF($I59&lt;-$L59,"SINUSOIDAL - MARGINAL","")))</f>
        <v/>
      </c>
      <c r="N59" s="98">
        <f>IF($A59="",NA(),$A59)</f>
        <v/>
      </c>
      <c r="O59" s="98">
        <f>IF($A59="",NA(),$H59/1000)</f>
        <v/>
      </c>
      <c r="P59" s="98">
        <f>IF($A59="",NA(),$I59/1000)</f>
        <v/>
      </c>
      <c r="Q59" s="98">
        <f>IF($A59="",NA(),$J59/1000)</f>
        <v/>
      </c>
      <c r="R59" s="98">
        <f>IF($A59="",NA(),$K59/1000)</f>
        <v/>
      </c>
    </row>
    <row r="60">
      <c r="A60" s="96">
        <f>IF('Directional Survey'!A34="","",'Directional Survey'!A34)</f>
        <v/>
      </c>
      <c r="B60" s="97">
        <f>IF($A60="","",'Directional Survey'!B34)</f>
        <v/>
      </c>
      <c r="C60" s="96">
        <f>IF(OR($A60="",'Directional Survey'!A35=""),"",'Directional Survey'!A35-$A60)</f>
        <v/>
      </c>
      <c r="D60" s="97">
        <f>IF($C60="","",($B60+'Directional Survey'!B35)/2)</f>
        <v/>
      </c>
      <c r="E60" s="97">
        <f>IF($C60="","",RADIANS('Directional Survey'!B35-$B60))</f>
        <v/>
      </c>
      <c r="F60" s="97">
        <f>IF($C60="","",RADIANS('Directional Survey'!C35-'Directional Survey'!C34))</f>
        <v/>
      </c>
      <c r="G60" s="97">
        <f>IF($C60="","",$B$27*IF(($A60+$A60+$C60)/2&gt;$B$11-$B$17,$B$16,$B$15))</f>
        <v/>
      </c>
      <c r="H60" s="96">
        <f>IF($A60="","",IF($C60="",0,$H61+$G60*$C60*COS(RADIANS($D60))+IF(($A60+$C60/2)&lt;=$B$12,$B$18,$B$19)*SQRT(($H61*$F60*SIN(RADIANS($D60)))^2+($H61*$E60+$G60*$C60*SIN(RADIANS($D60)))^2)))</f>
        <v/>
      </c>
      <c r="I60" s="96">
        <f>IF($A60="","",IF($C60="",-$B$20*1000,$I61+$G60*$C60*COS(RADIANS($D60))-IF(($A60+$C60/2)&lt;=$B$12,$B$18,$B$19)*SQRT(($I61*$F60*SIN(RADIANS($D60)))^2+($I61*$E60+$G60*$C60*SIN(RADIANS($D60)))^2)))</f>
        <v/>
      </c>
      <c r="J60" s="96">
        <f>IF($A60="","",IF($C60="",-$B$20*1000,$J61+$G60*$C60*COS(RADIANS($D60))))</f>
        <v/>
      </c>
      <c r="K60" s="96">
        <f>IF($A60="","",IF($C60="",$B$21,$K61+IF(($A60+$C60/2)&lt;=$B$12,$B$18,$B$19)*SQRT(($J61*$F60*SIN(RADIANS($D60)))^2+($J61*$E60+$G60*$C60*SIN(RADIANS($D60)))^2)*$B$22/24))</f>
        <v/>
      </c>
      <c r="L60" s="96">
        <f>IF($C60="","",2*SQRT($B$26*$B$28*($G60/12)*SIN(RADIANS(MAX($D60,3)))/(IF($A60&lt;=$B$12,$B$14,$B$13)-$B$24)/2))</f>
        <v/>
      </c>
      <c r="M60" s="9">
        <f>IF($C60="","",IF($I60&lt;-1.41*$L60,"HELICAL BUCKLING - CHECK",IF($I60&lt;-$L60,"SINUSOIDAL - MARGINAL","")))</f>
        <v/>
      </c>
      <c r="N60" s="98">
        <f>IF($A60="",NA(),$A60)</f>
        <v/>
      </c>
      <c r="O60" s="98">
        <f>IF($A60="",NA(),$H60/1000)</f>
        <v/>
      </c>
      <c r="P60" s="98">
        <f>IF($A60="",NA(),$I60/1000)</f>
        <v/>
      </c>
      <c r="Q60" s="98">
        <f>IF($A60="",NA(),$J60/1000)</f>
        <v/>
      </c>
      <c r="R60" s="98">
        <f>IF($A60="",NA(),$K60/1000)</f>
        <v/>
      </c>
    </row>
    <row r="61">
      <c r="A61" s="96">
        <f>IF('Directional Survey'!A35="","",'Directional Survey'!A35)</f>
        <v/>
      </c>
      <c r="B61" s="97">
        <f>IF($A61="","",'Directional Survey'!B35)</f>
        <v/>
      </c>
      <c r="C61" s="96">
        <f>IF(OR($A61="",'Directional Survey'!A36=""),"",'Directional Survey'!A36-$A61)</f>
        <v/>
      </c>
      <c r="D61" s="97">
        <f>IF($C61="","",($B61+'Directional Survey'!B36)/2)</f>
        <v/>
      </c>
      <c r="E61" s="97">
        <f>IF($C61="","",RADIANS('Directional Survey'!B36-$B61))</f>
        <v/>
      </c>
      <c r="F61" s="97">
        <f>IF($C61="","",RADIANS('Directional Survey'!C36-'Directional Survey'!C35))</f>
        <v/>
      </c>
      <c r="G61" s="97">
        <f>IF($C61="","",$B$27*IF(($A61+$A61+$C61)/2&gt;$B$11-$B$17,$B$16,$B$15))</f>
        <v/>
      </c>
      <c r="H61" s="96">
        <f>IF($A61="","",IF($C61="",0,$H62+$G61*$C61*COS(RADIANS($D61))+IF(($A61+$C61/2)&lt;=$B$12,$B$18,$B$19)*SQRT(($H62*$F61*SIN(RADIANS($D61)))^2+($H62*$E61+$G61*$C61*SIN(RADIANS($D61)))^2)))</f>
        <v/>
      </c>
      <c r="I61" s="96">
        <f>IF($A61="","",IF($C61="",-$B$20*1000,$I62+$G61*$C61*COS(RADIANS($D61))-IF(($A61+$C61/2)&lt;=$B$12,$B$18,$B$19)*SQRT(($I62*$F61*SIN(RADIANS($D61)))^2+($I62*$E61+$G61*$C61*SIN(RADIANS($D61)))^2)))</f>
        <v/>
      </c>
      <c r="J61" s="96">
        <f>IF($A61="","",IF($C61="",-$B$20*1000,$J62+$G61*$C61*COS(RADIANS($D61))))</f>
        <v/>
      </c>
      <c r="K61" s="96">
        <f>IF($A61="","",IF($C61="",$B$21,$K62+IF(($A61+$C61/2)&lt;=$B$12,$B$18,$B$19)*SQRT(($J62*$F61*SIN(RADIANS($D61)))^2+($J62*$E61+$G61*$C61*SIN(RADIANS($D61)))^2)*$B$22/24))</f>
        <v/>
      </c>
      <c r="L61" s="96">
        <f>IF($C61="","",2*SQRT($B$26*$B$28*($G61/12)*SIN(RADIANS(MAX($D61,3)))/(IF($A61&lt;=$B$12,$B$14,$B$13)-$B$24)/2))</f>
        <v/>
      </c>
      <c r="M61" s="9">
        <f>IF($C61="","",IF($I61&lt;-1.41*$L61,"HELICAL BUCKLING - CHECK",IF($I61&lt;-$L61,"SINUSOIDAL - MARGINAL","")))</f>
        <v/>
      </c>
      <c r="N61" s="98">
        <f>IF($A61="",NA(),$A61)</f>
        <v/>
      </c>
      <c r="O61" s="98">
        <f>IF($A61="",NA(),$H61/1000)</f>
        <v/>
      </c>
      <c r="P61" s="98">
        <f>IF($A61="",NA(),$I61/1000)</f>
        <v/>
      </c>
      <c r="Q61" s="98">
        <f>IF($A61="",NA(),$J61/1000)</f>
        <v/>
      </c>
      <c r="R61" s="98">
        <f>IF($A61="",NA(),$K61/1000)</f>
        <v/>
      </c>
    </row>
    <row r="62">
      <c r="A62" s="96">
        <f>IF('Directional Survey'!A36="","",'Directional Survey'!A36)</f>
        <v/>
      </c>
      <c r="B62" s="97">
        <f>IF($A62="","",'Directional Survey'!B36)</f>
        <v/>
      </c>
      <c r="C62" s="96">
        <f>IF(OR($A62="",'Directional Survey'!A37=""),"",'Directional Survey'!A37-$A62)</f>
        <v/>
      </c>
      <c r="D62" s="97">
        <f>IF($C62="","",($B62+'Directional Survey'!B37)/2)</f>
        <v/>
      </c>
      <c r="E62" s="97">
        <f>IF($C62="","",RADIANS('Directional Survey'!B37-$B62))</f>
        <v/>
      </c>
      <c r="F62" s="97">
        <f>IF($C62="","",RADIANS('Directional Survey'!C37-'Directional Survey'!C36))</f>
        <v/>
      </c>
      <c r="G62" s="97">
        <f>IF($C62="","",$B$27*IF(($A62+$A62+$C62)/2&gt;$B$11-$B$17,$B$16,$B$15))</f>
        <v/>
      </c>
      <c r="H62" s="96">
        <f>IF($A62="","",IF($C62="",0,$H63+$G62*$C62*COS(RADIANS($D62))+IF(($A62+$C62/2)&lt;=$B$12,$B$18,$B$19)*SQRT(($H63*$F62*SIN(RADIANS($D62)))^2+($H63*$E62+$G62*$C62*SIN(RADIANS($D62)))^2)))</f>
        <v/>
      </c>
      <c r="I62" s="96">
        <f>IF($A62="","",IF($C62="",-$B$20*1000,$I63+$G62*$C62*COS(RADIANS($D62))-IF(($A62+$C62/2)&lt;=$B$12,$B$18,$B$19)*SQRT(($I63*$F62*SIN(RADIANS($D62)))^2+($I63*$E62+$G62*$C62*SIN(RADIANS($D62)))^2)))</f>
        <v/>
      </c>
      <c r="J62" s="96">
        <f>IF($A62="","",IF($C62="",-$B$20*1000,$J63+$G62*$C62*COS(RADIANS($D62))))</f>
        <v/>
      </c>
      <c r="K62" s="96">
        <f>IF($A62="","",IF($C62="",$B$21,$K63+IF(($A62+$C62/2)&lt;=$B$12,$B$18,$B$19)*SQRT(($J63*$F62*SIN(RADIANS($D62)))^2+($J63*$E62+$G62*$C62*SIN(RADIANS($D62)))^2)*$B$22/24))</f>
        <v/>
      </c>
      <c r="L62" s="96">
        <f>IF($C62="","",2*SQRT($B$26*$B$28*($G62/12)*SIN(RADIANS(MAX($D62,3)))/(IF($A62&lt;=$B$12,$B$14,$B$13)-$B$24)/2))</f>
        <v/>
      </c>
      <c r="M62" s="9">
        <f>IF($C62="","",IF($I62&lt;-1.41*$L62,"HELICAL BUCKLING - CHECK",IF($I62&lt;-$L62,"SINUSOIDAL - MARGINAL","")))</f>
        <v/>
      </c>
      <c r="N62" s="98">
        <f>IF($A62="",NA(),$A62)</f>
        <v/>
      </c>
      <c r="O62" s="98">
        <f>IF($A62="",NA(),$H62/1000)</f>
        <v/>
      </c>
      <c r="P62" s="98">
        <f>IF($A62="",NA(),$I62/1000)</f>
        <v/>
      </c>
      <c r="Q62" s="98">
        <f>IF($A62="",NA(),$J62/1000)</f>
        <v/>
      </c>
      <c r="R62" s="98">
        <f>IF($A62="",NA(),$K62/1000)</f>
        <v/>
      </c>
    </row>
    <row r="63">
      <c r="A63" s="96">
        <f>IF('Directional Survey'!A37="","",'Directional Survey'!A37)</f>
        <v/>
      </c>
      <c r="B63" s="97">
        <f>IF($A63="","",'Directional Survey'!B37)</f>
        <v/>
      </c>
      <c r="C63" s="96">
        <f>IF(OR($A63="",'Directional Survey'!A38=""),"",'Directional Survey'!A38-$A63)</f>
        <v/>
      </c>
      <c r="D63" s="97">
        <f>IF($C63="","",($B63+'Directional Survey'!B38)/2)</f>
        <v/>
      </c>
      <c r="E63" s="97">
        <f>IF($C63="","",RADIANS('Directional Survey'!B38-$B63))</f>
        <v/>
      </c>
      <c r="F63" s="97">
        <f>IF($C63="","",RADIANS('Directional Survey'!C38-'Directional Survey'!C37))</f>
        <v/>
      </c>
      <c r="G63" s="97">
        <f>IF($C63="","",$B$27*IF(($A63+$A63+$C63)/2&gt;$B$11-$B$17,$B$16,$B$15))</f>
        <v/>
      </c>
      <c r="H63" s="96">
        <f>IF($A63="","",IF($C63="",0,$H64+$G63*$C63*COS(RADIANS($D63))+IF(($A63+$C63/2)&lt;=$B$12,$B$18,$B$19)*SQRT(($H64*$F63*SIN(RADIANS($D63)))^2+($H64*$E63+$G63*$C63*SIN(RADIANS($D63)))^2)))</f>
        <v/>
      </c>
      <c r="I63" s="96">
        <f>IF($A63="","",IF($C63="",-$B$20*1000,$I64+$G63*$C63*COS(RADIANS($D63))-IF(($A63+$C63/2)&lt;=$B$12,$B$18,$B$19)*SQRT(($I64*$F63*SIN(RADIANS($D63)))^2+($I64*$E63+$G63*$C63*SIN(RADIANS($D63)))^2)))</f>
        <v/>
      </c>
      <c r="J63" s="96">
        <f>IF($A63="","",IF($C63="",-$B$20*1000,$J64+$G63*$C63*COS(RADIANS($D63))))</f>
        <v/>
      </c>
      <c r="K63" s="96">
        <f>IF($A63="","",IF($C63="",$B$21,$K64+IF(($A63+$C63/2)&lt;=$B$12,$B$18,$B$19)*SQRT(($J64*$F63*SIN(RADIANS($D63)))^2+($J64*$E63+$G63*$C63*SIN(RADIANS($D63)))^2)*$B$22/24))</f>
        <v/>
      </c>
      <c r="L63" s="96">
        <f>IF($C63="","",2*SQRT($B$26*$B$28*($G63/12)*SIN(RADIANS(MAX($D63,3)))/(IF($A63&lt;=$B$12,$B$14,$B$13)-$B$24)/2))</f>
        <v/>
      </c>
      <c r="M63" s="9">
        <f>IF($C63="","",IF($I63&lt;-1.41*$L63,"HELICAL BUCKLING - CHECK",IF($I63&lt;-$L63,"SINUSOIDAL - MARGINAL","")))</f>
        <v/>
      </c>
      <c r="N63" s="98">
        <f>IF($A63="",NA(),$A63)</f>
        <v/>
      </c>
      <c r="O63" s="98">
        <f>IF($A63="",NA(),$H63/1000)</f>
        <v/>
      </c>
      <c r="P63" s="98">
        <f>IF($A63="",NA(),$I63/1000)</f>
        <v/>
      </c>
      <c r="Q63" s="98">
        <f>IF($A63="",NA(),$J63/1000)</f>
        <v/>
      </c>
      <c r="R63" s="98">
        <f>IF($A63="",NA(),$K63/1000)</f>
        <v/>
      </c>
    </row>
    <row r="64">
      <c r="A64" s="96">
        <f>IF('Directional Survey'!A38="","",'Directional Survey'!A38)</f>
        <v/>
      </c>
      <c r="B64" s="97">
        <f>IF($A64="","",'Directional Survey'!B38)</f>
        <v/>
      </c>
      <c r="C64" s="96">
        <f>IF(OR($A64="",'Directional Survey'!A39=""),"",'Directional Survey'!A39-$A64)</f>
        <v/>
      </c>
      <c r="D64" s="97">
        <f>IF($C64="","",($B64+'Directional Survey'!B39)/2)</f>
        <v/>
      </c>
      <c r="E64" s="97">
        <f>IF($C64="","",RADIANS('Directional Survey'!B39-$B64))</f>
        <v/>
      </c>
      <c r="F64" s="97">
        <f>IF($C64="","",RADIANS('Directional Survey'!C39-'Directional Survey'!C38))</f>
        <v/>
      </c>
      <c r="G64" s="97">
        <f>IF($C64="","",$B$27*IF(($A64+$A64+$C64)/2&gt;$B$11-$B$17,$B$16,$B$15))</f>
        <v/>
      </c>
      <c r="H64" s="96">
        <f>IF($A64="","",IF($C64="",0,$H65+$G64*$C64*COS(RADIANS($D64))+IF(($A64+$C64/2)&lt;=$B$12,$B$18,$B$19)*SQRT(($H65*$F64*SIN(RADIANS($D64)))^2+($H65*$E64+$G64*$C64*SIN(RADIANS($D64)))^2)))</f>
        <v/>
      </c>
      <c r="I64" s="96">
        <f>IF($A64="","",IF($C64="",-$B$20*1000,$I65+$G64*$C64*COS(RADIANS($D64))-IF(($A64+$C64/2)&lt;=$B$12,$B$18,$B$19)*SQRT(($I65*$F64*SIN(RADIANS($D64)))^2+($I65*$E64+$G64*$C64*SIN(RADIANS($D64)))^2)))</f>
        <v/>
      </c>
      <c r="J64" s="96">
        <f>IF($A64="","",IF($C64="",-$B$20*1000,$J65+$G64*$C64*COS(RADIANS($D64))))</f>
        <v/>
      </c>
      <c r="K64" s="96">
        <f>IF($A64="","",IF($C64="",$B$21,$K65+IF(($A64+$C64/2)&lt;=$B$12,$B$18,$B$19)*SQRT(($J65*$F64*SIN(RADIANS($D64)))^2+($J65*$E64+$G64*$C64*SIN(RADIANS($D64)))^2)*$B$22/24))</f>
        <v/>
      </c>
      <c r="L64" s="96">
        <f>IF($C64="","",2*SQRT($B$26*$B$28*($G64/12)*SIN(RADIANS(MAX($D64,3)))/(IF($A64&lt;=$B$12,$B$14,$B$13)-$B$24)/2))</f>
        <v/>
      </c>
      <c r="M64" s="9">
        <f>IF($C64="","",IF($I64&lt;-1.41*$L64,"HELICAL BUCKLING - CHECK",IF($I64&lt;-$L64,"SINUSOIDAL - MARGINAL","")))</f>
        <v/>
      </c>
      <c r="N64" s="98">
        <f>IF($A64="",NA(),$A64)</f>
        <v/>
      </c>
      <c r="O64" s="98">
        <f>IF($A64="",NA(),$H64/1000)</f>
        <v/>
      </c>
      <c r="P64" s="98">
        <f>IF($A64="",NA(),$I64/1000)</f>
        <v/>
      </c>
      <c r="Q64" s="98">
        <f>IF($A64="",NA(),$J64/1000)</f>
        <v/>
      </c>
      <c r="R64" s="98">
        <f>IF($A64="",NA(),$K64/1000)</f>
        <v/>
      </c>
    </row>
    <row r="65">
      <c r="A65" s="96">
        <f>IF('Directional Survey'!A39="","",'Directional Survey'!A39)</f>
        <v/>
      </c>
      <c r="B65" s="97">
        <f>IF($A65="","",'Directional Survey'!B39)</f>
        <v/>
      </c>
      <c r="C65" s="96">
        <f>IF(OR($A65="",'Directional Survey'!A40=""),"",'Directional Survey'!A40-$A65)</f>
        <v/>
      </c>
      <c r="D65" s="97">
        <f>IF($C65="","",($B65+'Directional Survey'!B40)/2)</f>
        <v/>
      </c>
      <c r="E65" s="97">
        <f>IF($C65="","",RADIANS('Directional Survey'!B40-$B65))</f>
        <v/>
      </c>
      <c r="F65" s="97">
        <f>IF($C65="","",RADIANS('Directional Survey'!C40-'Directional Survey'!C39))</f>
        <v/>
      </c>
      <c r="G65" s="97">
        <f>IF($C65="","",$B$27*IF(($A65+$A65+$C65)/2&gt;$B$11-$B$17,$B$16,$B$15))</f>
        <v/>
      </c>
      <c r="H65" s="96">
        <f>IF($A65="","",IF($C65="",0,$H66+$G65*$C65*COS(RADIANS($D65))+IF(($A65+$C65/2)&lt;=$B$12,$B$18,$B$19)*SQRT(($H66*$F65*SIN(RADIANS($D65)))^2+($H66*$E65+$G65*$C65*SIN(RADIANS($D65)))^2)))</f>
        <v/>
      </c>
      <c r="I65" s="96">
        <f>IF($A65="","",IF($C65="",-$B$20*1000,$I66+$G65*$C65*COS(RADIANS($D65))-IF(($A65+$C65/2)&lt;=$B$12,$B$18,$B$19)*SQRT(($I66*$F65*SIN(RADIANS($D65)))^2+($I66*$E65+$G65*$C65*SIN(RADIANS($D65)))^2)))</f>
        <v/>
      </c>
      <c r="J65" s="96">
        <f>IF($A65="","",IF($C65="",-$B$20*1000,$J66+$G65*$C65*COS(RADIANS($D65))))</f>
        <v/>
      </c>
      <c r="K65" s="96">
        <f>IF($A65="","",IF($C65="",$B$21,$K66+IF(($A65+$C65/2)&lt;=$B$12,$B$18,$B$19)*SQRT(($J66*$F65*SIN(RADIANS($D65)))^2+($J66*$E65+$G65*$C65*SIN(RADIANS($D65)))^2)*$B$22/24))</f>
        <v/>
      </c>
      <c r="L65" s="96">
        <f>IF($C65="","",2*SQRT($B$26*$B$28*($G65/12)*SIN(RADIANS(MAX($D65,3)))/(IF($A65&lt;=$B$12,$B$14,$B$13)-$B$24)/2))</f>
        <v/>
      </c>
      <c r="M65" s="9">
        <f>IF($C65="","",IF($I65&lt;-1.41*$L65,"HELICAL BUCKLING - CHECK",IF($I65&lt;-$L65,"SINUSOIDAL - MARGINAL","")))</f>
        <v/>
      </c>
      <c r="N65" s="98">
        <f>IF($A65="",NA(),$A65)</f>
        <v/>
      </c>
      <c r="O65" s="98">
        <f>IF($A65="",NA(),$H65/1000)</f>
        <v/>
      </c>
      <c r="P65" s="98">
        <f>IF($A65="",NA(),$I65/1000)</f>
        <v/>
      </c>
      <c r="Q65" s="98">
        <f>IF($A65="",NA(),$J65/1000)</f>
        <v/>
      </c>
      <c r="R65" s="98">
        <f>IF($A65="",NA(),$K65/1000)</f>
        <v/>
      </c>
    </row>
    <row r="66">
      <c r="A66" s="96">
        <f>IF('Directional Survey'!A40="","",'Directional Survey'!A40)</f>
        <v/>
      </c>
      <c r="B66" s="97">
        <f>IF($A66="","",'Directional Survey'!B40)</f>
        <v/>
      </c>
      <c r="C66" s="96">
        <f>IF(OR($A66="",'Directional Survey'!A41=""),"",'Directional Survey'!A41-$A66)</f>
        <v/>
      </c>
      <c r="D66" s="97">
        <f>IF($C66="","",($B66+'Directional Survey'!B41)/2)</f>
        <v/>
      </c>
      <c r="E66" s="97">
        <f>IF($C66="","",RADIANS('Directional Survey'!B41-$B66))</f>
        <v/>
      </c>
      <c r="F66" s="97">
        <f>IF($C66="","",RADIANS('Directional Survey'!C41-'Directional Survey'!C40))</f>
        <v/>
      </c>
      <c r="G66" s="97">
        <f>IF($C66="","",$B$27*IF(($A66+$A66+$C66)/2&gt;$B$11-$B$17,$B$16,$B$15))</f>
        <v/>
      </c>
      <c r="H66" s="96">
        <f>IF($A66="","",IF($C66="",0,$H67+$G66*$C66*COS(RADIANS($D66))+IF(($A66+$C66/2)&lt;=$B$12,$B$18,$B$19)*SQRT(($H67*$F66*SIN(RADIANS($D66)))^2+($H67*$E66+$G66*$C66*SIN(RADIANS($D66)))^2)))</f>
        <v/>
      </c>
      <c r="I66" s="96">
        <f>IF($A66="","",IF($C66="",-$B$20*1000,$I67+$G66*$C66*COS(RADIANS($D66))-IF(($A66+$C66/2)&lt;=$B$12,$B$18,$B$19)*SQRT(($I67*$F66*SIN(RADIANS($D66)))^2+($I67*$E66+$G66*$C66*SIN(RADIANS($D66)))^2)))</f>
        <v/>
      </c>
      <c r="J66" s="96">
        <f>IF($A66="","",IF($C66="",-$B$20*1000,$J67+$G66*$C66*COS(RADIANS($D66))))</f>
        <v/>
      </c>
      <c r="K66" s="96">
        <f>IF($A66="","",IF($C66="",$B$21,$K67+IF(($A66+$C66/2)&lt;=$B$12,$B$18,$B$19)*SQRT(($J67*$F66*SIN(RADIANS($D66)))^2+($J67*$E66+$G66*$C66*SIN(RADIANS($D66)))^2)*$B$22/24))</f>
        <v/>
      </c>
      <c r="L66" s="96">
        <f>IF($C66="","",2*SQRT($B$26*$B$28*($G66/12)*SIN(RADIANS(MAX($D66,3)))/(IF($A66&lt;=$B$12,$B$14,$B$13)-$B$24)/2))</f>
        <v/>
      </c>
      <c r="M66" s="9">
        <f>IF($C66="","",IF($I66&lt;-1.41*$L66,"HELICAL BUCKLING - CHECK",IF($I66&lt;-$L66,"SINUSOIDAL - MARGINAL","")))</f>
        <v/>
      </c>
      <c r="N66" s="98">
        <f>IF($A66="",NA(),$A66)</f>
        <v/>
      </c>
      <c r="O66" s="98">
        <f>IF($A66="",NA(),$H66/1000)</f>
        <v/>
      </c>
      <c r="P66" s="98">
        <f>IF($A66="",NA(),$I66/1000)</f>
        <v/>
      </c>
      <c r="Q66" s="98">
        <f>IF($A66="",NA(),$J66/1000)</f>
        <v/>
      </c>
      <c r="R66" s="98">
        <f>IF($A66="",NA(),$K66/1000)</f>
        <v/>
      </c>
    </row>
    <row r="67">
      <c r="A67" s="96">
        <f>IF('Directional Survey'!A41="","",'Directional Survey'!A41)</f>
        <v/>
      </c>
      <c r="B67" s="97">
        <f>IF($A67="","",'Directional Survey'!B41)</f>
        <v/>
      </c>
      <c r="C67" s="96">
        <f>IF(OR($A67="",'Directional Survey'!A42=""),"",'Directional Survey'!A42-$A67)</f>
        <v/>
      </c>
      <c r="D67" s="97">
        <f>IF($C67="","",($B67+'Directional Survey'!B42)/2)</f>
        <v/>
      </c>
      <c r="E67" s="97">
        <f>IF($C67="","",RADIANS('Directional Survey'!B42-$B67))</f>
        <v/>
      </c>
      <c r="F67" s="97">
        <f>IF($C67="","",RADIANS('Directional Survey'!C42-'Directional Survey'!C41))</f>
        <v/>
      </c>
      <c r="G67" s="97">
        <f>IF($C67="","",$B$27*IF(($A67+$A67+$C67)/2&gt;$B$11-$B$17,$B$16,$B$15))</f>
        <v/>
      </c>
      <c r="H67" s="96">
        <f>IF($A67="","",IF($C67="",0,$H68+$G67*$C67*COS(RADIANS($D67))+IF(($A67+$C67/2)&lt;=$B$12,$B$18,$B$19)*SQRT(($H68*$F67*SIN(RADIANS($D67)))^2+($H68*$E67+$G67*$C67*SIN(RADIANS($D67)))^2)))</f>
        <v/>
      </c>
      <c r="I67" s="96">
        <f>IF($A67="","",IF($C67="",-$B$20*1000,$I68+$G67*$C67*COS(RADIANS($D67))-IF(($A67+$C67/2)&lt;=$B$12,$B$18,$B$19)*SQRT(($I68*$F67*SIN(RADIANS($D67)))^2+($I68*$E67+$G67*$C67*SIN(RADIANS($D67)))^2)))</f>
        <v/>
      </c>
      <c r="J67" s="96">
        <f>IF($A67="","",IF($C67="",-$B$20*1000,$J68+$G67*$C67*COS(RADIANS($D67))))</f>
        <v/>
      </c>
      <c r="K67" s="96">
        <f>IF($A67="","",IF($C67="",$B$21,$K68+IF(($A67+$C67/2)&lt;=$B$12,$B$18,$B$19)*SQRT(($J68*$F67*SIN(RADIANS($D67)))^2+($J68*$E67+$G67*$C67*SIN(RADIANS($D67)))^2)*$B$22/24))</f>
        <v/>
      </c>
      <c r="L67" s="96">
        <f>IF($C67="","",2*SQRT($B$26*$B$28*($G67/12)*SIN(RADIANS(MAX($D67,3)))/(IF($A67&lt;=$B$12,$B$14,$B$13)-$B$24)/2))</f>
        <v/>
      </c>
      <c r="M67" s="9">
        <f>IF($C67="","",IF($I67&lt;-1.41*$L67,"HELICAL BUCKLING - CHECK",IF($I67&lt;-$L67,"SINUSOIDAL - MARGINAL","")))</f>
        <v/>
      </c>
      <c r="N67" s="98">
        <f>IF($A67="",NA(),$A67)</f>
        <v/>
      </c>
      <c r="O67" s="98">
        <f>IF($A67="",NA(),$H67/1000)</f>
        <v/>
      </c>
      <c r="P67" s="98">
        <f>IF($A67="",NA(),$I67/1000)</f>
        <v/>
      </c>
      <c r="Q67" s="98">
        <f>IF($A67="",NA(),$J67/1000)</f>
        <v/>
      </c>
      <c r="R67" s="98">
        <f>IF($A67="",NA(),$K67/1000)</f>
        <v/>
      </c>
    </row>
    <row r="68">
      <c r="A68" s="96">
        <f>IF('Directional Survey'!A42="","",'Directional Survey'!A42)</f>
        <v/>
      </c>
      <c r="B68" s="97">
        <f>IF($A68="","",'Directional Survey'!B42)</f>
        <v/>
      </c>
      <c r="C68" s="96">
        <f>IF(OR($A68="",'Directional Survey'!A43=""),"",'Directional Survey'!A43-$A68)</f>
        <v/>
      </c>
      <c r="D68" s="97">
        <f>IF($C68="","",($B68+'Directional Survey'!B43)/2)</f>
        <v/>
      </c>
      <c r="E68" s="97">
        <f>IF($C68="","",RADIANS('Directional Survey'!B43-$B68))</f>
        <v/>
      </c>
      <c r="F68" s="97">
        <f>IF($C68="","",RADIANS('Directional Survey'!C43-'Directional Survey'!C42))</f>
        <v/>
      </c>
      <c r="G68" s="97">
        <f>IF($C68="","",$B$27*IF(($A68+$A68+$C68)/2&gt;$B$11-$B$17,$B$16,$B$15))</f>
        <v/>
      </c>
      <c r="H68" s="96">
        <f>IF($A68="","",IF($C68="",0,$H69+$G68*$C68*COS(RADIANS($D68))+IF(($A68+$C68/2)&lt;=$B$12,$B$18,$B$19)*SQRT(($H69*$F68*SIN(RADIANS($D68)))^2+($H69*$E68+$G68*$C68*SIN(RADIANS($D68)))^2)))</f>
        <v/>
      </c>
      <c r="I68" s="96">
        <f>IF($A68="","",IF($C68="",-$B$20*1000,$I69+$G68*$C68*COS(RADIANS($D68))-IF(($A68+$C68/2)&lt;=$B$12,$B$18,$B$19)*SQRT(($I69*$F68*SIN(RADIANS($D68)))^2+($I69*$E68+$G68*$C68*SIN(RADIANS($D68)))^2)))</f>
        <v/>
      </c>
      <c r="J68" s="96">
        <f>IF($A68="","",IF($C68="",-$B$20*1000,$J69+$G68*$C68*COS(RADIANS($D68))))</f>
        <v/>
      </c>
      <c r="K68" s="96">
        <f>IF($A68="","",IF($C68="",$B$21,$K69+IF(($A68+$C68/2)&lt;=$B$12,$B$18,$B$19)*SQRT(($J69*$F68*SIN(RADIANS($D68)))^2+($J69*$E68+$G68*$C68*SIN(RADIANS($D68)))^2)*$B$22/24))</f>
        <v/>
      </c>
      <c r="L68" s="96">
        <f>IF($C68="","",2*SQRT($B$26*$B$28*($G68/12)*SIN(RADIANS(MAX($D68,3)))/(IF($A68&lt;=$B$12,$B$14,$B$13)-$B$24)/2))</f>
        <v/>
      </c>
      <c r="M68" s="9">
        <f>IF($C68="","",IF($I68&lt;-1.41*$L68,"HELICAL BUCKLING - CHECK",IF($I68&lt;-$L68,"SINUSOIDAL - MARGINAL","")))</f>
        <v/>
      </c>
      <c r="N68" s="98">
        <f>IF($A68="",NA(),$A68)</f>
        <v/>
      </c>
      <c r="O68" s="98">
        <f>IF($A68="",NA(),$H68/1000)</f>
        <v/>
      </c>
      <c r="P68" s="98">
        <f>IF($A68="",NA(),$I68/1000)</f>
        <v/>
      </c>
      <c r="Q68" s="98">
        <f>IF($A68="",NA(),$J68/1000)</f>
        <v/>
      </c>
      <c r="R68" s="98">
        <f>IF($A68="",NA(),$K68/1000)</f>
        <v/>
      </c>
    </row>
    <row r="69">
      <c r="A69" s="96">
        <f>IF('Directional Survey'!A43="","",'Directional Survey'!A43)</f>
        <v/>
      </c>
      <c r="B69" s="97">
        <f>IF($A69="","",'Directional Survey'!B43)</f>
        <v/>
      </c>
      <c r="C69" s="96">
        <f>IF(OR($A69="",'Directional Survey'!A44=""),"",'Directional Survey'!A44-$A69)</f>
        <v/>
      </c>
      <c r="D69" s="97">
        <f>IF($C69="","",($B69+'Directional Survey'!B44)/2)</f>
        <v/>
      </c>
      <c r="E69" s="97">
        <f>IF($C69="","",RADIANS('Directional Survey'!B44-$B69))</f>
        <v/>
      </c>
      <c r="F69" s="97">
        <f>IF($C69="","",RADIANS('Directional Survey'!C44-'Directional Survey'!C43))</f>
        <v/>
      </c>
      <c r="G69" s="97">
        <f>IF($C69="","",$B$27*IF(($A69+$A69+$C69)/2&gt;$B$11-$B$17,$B$16,$B$15))</f>
        <v/>
      </c>
      <c r="H69" s="96">
        <f>IF($A69="","",IF($C69="",0,$H70+$G69*$C69*COS(RADIANS($D69))+IF(($A69+$C69/2)&lt;=$B$12,$B$18,$B$19)*SQRT(($H70*$F69*SIN(RADIANS($D69)))^2+($H70*$E69+$G69*$C69*SIN(RADIANS($D69)))^2)))</f>
        <v/>
      </c>
      <c r="I69" s="96">
        <f>IF($A69="","",IF($C69="",-$B$20*1000,$I70+$G69*$C69*COS(RADIANS($D69))-IF(($A69+$C69/2)&lt;=$B$12,$B$18,$B$19)*SQRT(($I70*$F69*SIN(RADIANS($D69)))^2+($I70*$E69+$G69*$C69*SIN(RADIANS($D69)))^2)))</f>
        <v/>
      </c>
      <c r="J69" s="96">
        <f>IF($A69="","",IF($C69="",-$B$20*1000,$J70+$G69*$C69*COS(RADIANS($D69))))</f>
        <v/>
      </c>
      <c r="K69" s="96">
        <f>IF($A69="","",IF($C69="",$B$21,$K70+IF(($A69+$C69/2)&lt;=$B$12,$B$18,$B$19)*SQRT(($J70*$F69*SIN(RADIANS($D69)))^2+($J70*$E69+$G69*$C69*SIN(RADIANS($D69)))^2)*$B$22/24))</f>
        <v/>
      </c>
      <c r="L69" s="96">
        <f>IF($C69="","",2*SQRT($B$26*$B$28*($G69/12)*SIN(RADIANS(MAX($D69,3)))/(IF($A69&lt;=$B$12,$B$14,$B$13)-$B$24)/2))</f>
        <v/>
      </c>
      <c r="M69" s="9">
        <f>IF($C69="","",IF($I69&lt;-1.41*$L69,"HELICAL BUCKLING - CHECK",IF($I69&lt;-$L69,"SINUSOIDAL - MARGINAL","")))</f>
        <v/>
      </c>
      <c r="N69" s="98">
        <f>IF($A69="",NA(),$A69)</f>
        <v/>
      </c>
      <c r="O69" s="98">
        <f>IF($A69="",NA(),$H69/1000)</f>
        <v/>
      </c>
      <c r="P69" s="98">
        <f>IF($A69="",NA(),$I69/1000)</f>
        <v/>
      </c>
      <c r="Q69" s="98">
        <f>IF($A69="",NA(),$J69/1000)</f>
        <v/>
      </c>
      <c r="R69" s="98">
        <f>IF($A69="",NA(),$K69/1000)</f>
        <v/>
      </c>
    </row>
    <row r="70">
      <c r="A70" s="96">
        <f>IF('Directional Survey'!A44="","",'Directional Survey'!A44)</f>
        <v/>
      </c>
      <c r="B70" s="97">
        <f>IF($A70="","",'Directional Survey'!B44)</f>
        <v/>
      </c>
      <c r="C70" s="96">
        <f>IF(OR($A70="",'Directional Survey'!A45=""),"",'Directional Survey'!A45-$A70)</f>
        <v/>
      </c>
      <c r="D70" s="97">
        <f>IF($C70="","",($B70+'Directional Survey'!B45)/2)</f>
        <v/>
      </c>
      <c r="E70" s="97">
        <f>IF($C70="","",RADIANS('Directional Survey'!B45-$B70))</f>
        <v/>
      </c>
      <c r="F70" s="97">
        <f>IF($C70="","",RADIANS('Directional Survey'!C45-'Directional Survey'!C44))</f>
        <v/>
      </c>
      <c r="G70" s="97">
        <f>IF($C70="","",$B$27*IF(($A70+$A70+$C70)/2&gt;$B$11-$B$17,$B$16,$B$15))</f>
        <v/>
      </c>
      <c r="H70" s="96">
        <f>IF($A70="","",IF($C70="",0,$H71+$G70*$C70*COS(RADIANS($D70))+IF(($A70+$C70/2)&lt;=$B$12,$B$18,$B$19)*SQRT(($H71*$F70*SIN(RADIANS($D70)))^2+($H71*$E70+$G70*$C70*SIN(RADIANS($D70)))^2)))</f>
        <v/>
      </c>
      <c r="I70" s="96">
        <f>IF($A70="","",IF($C70="",-$B$20*1000,$I71+$G70*$C70*COS(RADIANS($D70))-IF(($A70+$C70/2)&lt;=$B$12,$B$18,$B$19)*SQRT(($I71*$F70*SIN(RADIANS($D70)))^2+($I71*$E70+$G70*$C70*SIN(RADIANS($D70)))^2)))</f>
        <v/>
      </c>
      <c r="J70" s="96">
        <f>IF($A70="","",IF($C70="",-$B$20*1000,$J71+$G70*$C70*COS(RADIANS($D70))))</f>
        <v/>
      </c>
      <c r="K70" s="96">
        <f>IF($A70="","",IF($C70="",$B$21,$K71+IF(($A70+$C70/2)&lt;=$B$12,$B$18,$B$19)*SQRT(($J71*$F70*SIN(RADIANS($D70)))^2+($J71*$E70+$G70*$C70*SIN(RADIANS($D70)))^2)*$B$22/24))</f>
        <v/>
      </c>
      <c r="L70" s="96">
        <f>IF($C70="","",2*SQRT($B$26*$B$28*($G70/12)*SIN(RADIANS(MAX($D70,3)))/(IF($A70&lt;=$B$12,$B$14,$B$13)-$B$24)/2))</f>
        <v/>
      </c>
      <c r="M70" s="9">
        <f>IF($C70="","",IF($I70&lt;-1.41*$L70,"HELICAL BUCKLING - CHECK",IF($I70&lt;-$L70,"SINUSOIDAL - MARGINAL","")))</f>
        <v/>
      </c>
      <c r="N70" s="98">
        <f>IF($A70="",NA(),$A70)</f>
        <v/>
      </c>
      <c r="O70" s="98">
        <f>IF($A70="",NA(),$H70/1000)</f>
        <v/>
      </c>
      <c r="P70" s="98">
        <f>IF($A70="",NA(),$I70/1000)</f>
        <v/>
      </c>
      <c r="Q70" s="98">
        <f>IF($A70="",NA(),$J70/1000)</f>
        <v/>
      </c>
      <c r="R70" s="98">
        <f>IF($A70="",NA(),$K70/1000)</f>
        <v/>
      </c>
    </row>
    <row r="71">
      <c r="A71" s="96">
        <f>IF('Directional Survey'!A45="","",'Directional Survey'!A45)</f>
        <v/>
      </c>
      <c r="B71" s="97">
        <f>IF($A71="","",'Directional Survey'!B45)</f>
        <v/>
      </c>
      <c r="C71" s="96">
        <f>IF(OR($A71="",'Directional Survey'!A46=""),"",'Directional Survey'!A46-$A71)</f>
        <v/>
      </c>
      <c r="D71" s="97">
        <f>IF($C71="","",($B71+'Directional Survey'!B46)/2)</f>
        <v/>
      </c>
      <c r="E71" s="97">
        <f>IF($C71="","",RADIANS('Directional Survey'!B46-$B71))</f>
        <v/>
      </c>
      <c r="F71" s="97">
        <f>IF($C71="","",RADIANS('Directional Survey'!C46-'Directional Survey'!C45))</f>
        <v/>
      </c>
      <c r="G71" s="97">
        <f>IF($C71="","",$B$27*IF(($A71+$A71+$C71)/2&gt;$B$11-$B$17,$B$16,$B$15))</f>
        <v/>
      </c>
      <c r="H71" s="96">
        <f>IF($A71="","",IF($C71="",0,$H72+$G71*$C71*COS(RADIANS($D71))+IF(($A71+$C71/2)&lt;=$B$12,$B$18,$B$19)*SQRT(($H72*$F71*SIN(RADIANS($D71)))^2+($H72*$E71+$G71*$C71*SIN(RADIANS($D71)))^2)))</f>
        <v/>
      </c>
      <c r="I71" s="96">
        <f>IF($A71="","",IF($C71="",-$B$20*1000,$I72+$G71*$C71*COS(RADIANS($D71))-IF(($A71+$C71/2)&lt;=$B$12,$B$18,$B$19)*SQRT(($I72*$F71*SIN(RADIANS($D71)))^2+($I72*$E71+$G71*$C71*SIN(RADIANS($D71)))^2)))</f>
        <v/>
      </c>
      <c r="J71" s="96">
        <f>IF($A71="","",IF($C71="",-$B$20*1000,$J72+$G71*$C71*COS(RADIANS($D71))))</f>
        <v/>
      </c>
      <c r="K71" s="96">
        <f>IF($A71="","",IF($C71="",$B$21,$K72+IF(($A71+$C71/2)&lt;=$B$12,$B$18,$B$19)*SQRT(($J72*$F71*SIN(RADIANS($D71)))^2+($J72*$E71+$G71*$C71*SIN(RADIANS($D71)))^2)*$B$22/24))</f>
        <v/>
      </c>
      <c r="L71" s="96">
        <f>IF($C71="","",2*SQRT($B$26*$B$28*($G71/12)*SIN(RADIANS(MAX($D71,3)))/(IF($A71&lt;=$B$12,$B$14,$B$13)-$B$24)/2))</f>
        <v/>
      </c>
      <c r="M71" s="9">
        <f>IF($C71="","",IF($I71&lt;-1.41*$L71,"HELICAL BUCKLING - CHECK",IF($I71&lt;-$L71,"SINUSOIDAL - MARGINAL","")))</f>
        <v/>
      </c>
      <c r="N71" s="98">
        <f>IF($A71="",NA(),$A71)</f>
        <v/>
      </c>
      <c r="O71" s="98">
        <f>IF($A71="",NA(),$H71/1000)</f>
        <v/>
      </c>
      <c r="P71" s="98">
        <f>IF($A71="",NA(),$I71/1000)</f>
        <v/>
      </c>
      <c r="Q71" s="98">
        <f>IF($A71="",NA(),$J71/1000)</f>
        <v/>
      </c>
      <c r="R71" s="98">
        <f>IF($A71="",NA(),$K71/1000)</f>
        <v/>
      </c>
    </row>
    <row r="72">
      <c r="A72" s="96">
        <f>IF('Directional Survey'!A46="","",'Directional Survey'!A46)</f>
        <v/>
      </c>
      <c r="B72" s="97">
        <f>IF($A72="","",'Directional Survey'!B46)</f>
        <v/>
      </c>
      <c r="C72" s="96">
        <f>IF(OR($A72="",'Directional Survey'!A47=""),"",'Directional Survey'!A47-$A72)</f>
        <v/>
      </c>
      <c r="D72" s="97">
        <f>IF($C72="","",($B72+'Directional Survey'!B47)/2)</f>
        <v/>
      </c>
      <c r="E72" s="97">
        <f>IF($C72="","",RADIANS('Directional Survey'!B47-$B72))</f>
        <v/>
      </c>
      <c r="F72" s="97">
        <f>IF($C72="","",RADIANS('Directional Survey'!C47-'Directional Survey'!C46))</f>
        <v/>
      </c>
      <c r="G72" s="97">
        <f>IF($C72="","",$B$27*IF(($A72+$A72+$C72)/2&gt;$B$11-$B$17,$B$16,$B$15))</f>
        <v/>
      </c>
      <c r="H72" s="96">
        <f>IF($A72="","",IF($C72="",0,$H73+$G72*$C72*COS(RADIANS($D72))+IF(($A72+$C72/2)&lt;=$B$12,$B$18,$B$19)*SQRT(($H73*$F72*SIN(RADIANS($D72)))^2+($H73*$E72+$G72*$C72*SIN(RADIANS($D72)))^2)))</f>
        <v/>
      </c>
      <c r="I72" s="96">
        <f>IF($A72="","",IF($C72="",-$B$20*1000,$I73+$G72*$C72*COS(RADIANS($D72))-IF(($A72+$C72/2)&lt;=$B$12,$B$18,$B$19)*SQRT(($I73*$F72*SIN(RADIANS($D72)))^2+($I73*$E72+$G72*$C72*SIN(RADIANS($D72)))^2)))</f>
        <v/>
      </c>
      <c r="J72" s="96">
        <f>IF($A72="","",IF($C72="",-$B$20*1000,$J73+$G72*$C72*COS(RADIANS($D72))))</f>
        <v/>
      </c>
      <c r="K72" s="96">
        <f>IF($A72="","",IF($C72="",$B$21,$K73+IF(($A72+$C72/2)&lt;=$B$12,$B$18,$B$19)*SQRT(($J73*$F72*SIN(RADIANS($D72)))^2+($J73*$E72+$G72*$C72*SIN(RADIANS($D72)))^2)*$B$22/24))</f>
        <v/>
      </c>
      <c r="L72" s="96">
        <f>IF($C72="","",2*SQRT($B$26*$B$28*($G72/12)*SIN(RADIANS(MAX($D72,3)))/(IF($A72&lt;=$B$12,$B$14,$B$13)-$B$24)/2))</f>
        <v/>
      </c>
      <c r="M72" s="9">
        <f>IF($C72="","",IF($I72&lt;-1.41*$L72,"HELICAL BUCKLING - CHECK",IF($I72&lt;-$L72,"SINUSOIDAL - MARGINAL","")))</f>
        <v/>
      </c>
      <c r="N72" s="98">
        <f>IF($A72="",NA(),$A72)</f>
        <v/>
      </c>
      <c r="O72" s="98">
        <f>IF($A72="",NA(),$H72/1000)</f>
        <v/>
      </c>
      <c r="P72" s="98">
        <f>IF($A72="",NA(),$I72/1000)</f>
        <v/>
      </c>
      <c r="Q72" s="98">
        <f>IF($A72="",NA(),$J72/1000)</f>
        <v/>
      </c>
      <c r="R72" s="98">
        <f>IF($A72="",NA(),$K72/1000)</f>
        <v/>
      </c>
    </row>
    <row r="73">
      <c r="A73" s="96">
        <f>IF('Directional Survey'!A47="","",'Directional Survey'!A47)</f>
        <v/>
      </c>
      <c r="B73" s="97">
        <f>IF($A73="","",'Directional Survey'!B47)</f>
        <v/>
      </c>
      <c r="C73" s="96">
        <f>IF(OR($A73="",'Directional Survey'!A48=""),"",'Directional Survey'!A48-$A73)</f>
        <v/>
      </c>
      <c r="D73" s="97">
        <f>IF($C73="","",($B73+'Directional Survey'!B48)/2)</f>
        <v/>
      </c>
      <c r="E73" s="97">
        <f>IF($C73="","",RADIANS('Directional Survey'!B48-$B73))</f>
        <v/>
      </c>
      <c r="F73" s="97">
        <f>IF($C73="","",RADIANS('Directional Survey'!C48-'Directional Survey'!C47))</f>
        <v/>
      </c>
      <c r="G73" s="97">
        <f>IF($C73="","",$B$27*IF(($A73+$A73+$C73)/2&gt;$B$11-$B$17,$B$16,$B$15))</f>
        <v/>
      </c>
      <c r="H73" s="96">
        <f>IF($A73="","",IF($C73="",0,$H74+$G73*$C73*COS(RADIANS($D73))+IF(($A73+$C73/2)&lt;=$B$12,$B$18,$B$19)*SQRT(($H74*$F73*SIN(RADIANS($D73)))^2+($H74*$E73+$G73*$C73*SIN(RADIANS($D73)))^2)))</f>
        <v/>
      </c>
      <c r="I73" s="96">
        <f>IF($A73="","",IF($C73="",-$B$20*1000,$I74+$G73*$C73*COS(RADIANS($D73))-IF(($A73+$C73/2)&lt;=$B$12,$B$18,$B$19)*SQRT(($I74*$F73*SIN(RADIANS($D73)))^2+($I74*$E73+$G73*$C73*SIN(RADIANS($D73)))^2)))</f>
        <v/>
      </c>
      <c r="J73" s="96">
        <f>IF($A73="","",IF($C73="",-$B$20*1000,$J74+$G73*$C73*COS(RADIANS($D73))))</f>
        <v/>
      </c>
      <c r="K73" s="96">
        <f>IF($A73="","",IF($C73="",$B$21,$K74+IF(($A73+$C73/2)&lt;=$B$12,$B$18,$B$19)*SQRT(($J74*$F73*SIN(RADIANS($D73)))^2+($J74*$E73+$G73*$C73*SIN(RADIANS($D73)))^2)*$B$22/24))</f>
        <v/>
      </c>
      <c r="L73" s="96">
        <f>IF($C73="","",2*SQRT($B$26*$B$28*($G73/12)*SIN(RADIANS(MAX($D73,3)))/(IF($A73&lt;=$B$12,$B$14,$B$13)-$B$24)/2))</f>
        <v/>
      </c>
      <c r="M73" s="9">
        <f>IF($C73="","",IF($I73&lt;-1.41*$L73,"HELICAL BUCKLING - CHECK",IF($I73&lt;-$L73,"SINUSOIDAL - MARGINAL","")))</f>
        <v/>
      </c>
      <c r="N73" s="98">
        <f>IF($A73="",NA(),$A73)</f>
        <v/>
      </c>
      <c r="O73" s="98">
        <f>IF($A73="",NA(),$H73/1000)</f>
        <v/>
      </c>
      <c r="P73" s="98">
        <f>IF($A73="",NA(),$I73/1000)</f>
        <v/>
      </c>
      <c r="Q73" s="98">
        <f>IF($A73="",NA(),$J73/1000)</f>
        <v/>
      </c>
      <c r="R73" s="98">
        <f>IF($A73="",NA(),$K73/1000)</f>
        <v/>
      </c>
    </row>
    <row r="74">
      <c r="A74" s="96">
        <f>IF('Directional Survey'!A48="","",'Directional Survey'!A48)</f>
        <v/>
      </c>
      <c r="B74" s="97">
        <f>IF($A74="","",'Directional Survey'!B48)</f>
        <v/>
      </c>
      <c r="C74" s="96">
        <f>IF(OR($A74="",'Directional Survey'!A49=""),"",'Directional Survey'!A49-$A74)</f>
        <v/>
      </c>
      <c r="D74" s="97">
        <f>IF($C74="","",($B74+'Directional Survey'!B49)/2)</f>
        <v/>
      </c>
      <c r="E74" s="97">
        <f>IF($C74="","",RADIANS('Directional Survey'!B49-$B74))</f>
        <v/>
      </c>
      <c r="F74" s="97">
        <f>IF($C74="","",RADIANS('Directional Survey'!C49-'Directional Survey'!C48))</f>
        <v/>
      </c>
      <c r="G74" s="97">
        <f>IF($C74="","",$B$27*IF(($A74+$A74+$C74)/2&gt;$B$11-$B$17,$B$16,$B$15))</f>
        <v/>
      </c>
      <c r="H74" s="96">
        <f>IF($A74="","",IF($C74="",0,$H75+$G74*$C74*COS(RADIANS($D74))+IF(($A74+$C74/2)&lt;=$B$12,$B$18,$B$19)*SQRT(($H75*$F74*SIN(RADIANS($D74)))^2+($H75*$E74+$G74*$C74*SIN(RADIANS($D74)))^2)))</f>
        <v/>
      </c>
      <c r="I74" s="96">
        <f>IF($A74="","",IF($C74="",-$B$20*1000,$I75+$G74*$C74*COS(RADIANS($D74))-IF(($A74+$C74/2)&lt;=$B$12,$B$18,$B$19)*SQRT(($I75*$F74*SIN(RADIANS($D74)))^2+($I75*$E74+$G74*$C74*SIN(RADIANS($D74)))^2)))</f>
        <v/>
      </c>
      <c r="J74" s="96">
        <f>IF($A74="","",IF($C74="",-$B$20*1000,$J75+$G74*$C74*COS(RADIANS($D74))))</f>
        <v/>
      </c>
      <c r="K74" s="96">
        <f>IF($A74="","",IF($C74="",$B$21,$K75+IF(($A74+$C74/2)&lt;=$B$12,$B$18,$B$19)*SQRT(($J75*$F74*SIN(RADIANS($D74)))^2+($J75*$E74+$G74*$C74*SIN(RADIANS($D74)))^2)*$B$22/24))</f>
        <v/>
      </c>
      <c r="L74" s="96">
        <f>IF($C74="","",2*SQRT($B$26*$B$28*($G74/12)*SIN(RADIANS(MAX($D74,3)))/(IF($A74&lt;=$B$12,$B$14,$B$13)-$B$24)/2))</f>
        <v/>
      </c>
      <c r="M74" s="9">
        <f>IF($C74="","",IF($I74&lt;-1.41*$L74,"HELICAL BUCKLING - CHECK",IF($I74&lt;-$L74,"SINUSOIDAL - MARGINAL","")))</f>
        <v/>
      </c>
      <c r="N74" s="98">
        <f>IF($A74="",NA(),$A74)</f>
        <v/>
      </c>
      <c r="O74" s="98">
        <f>IF($A74="",NA(),$H74/1000)</f>
        <v/>
      </c>
      <c r="P74" s="98">
        <f>IF($A74="",NA(),$I74/1000)</f>
        <v/>
      </c>
      <c r="Q74" s="98">
        <f>IF($A74="",NA(),$J74/1000)</f>
        <v/>
      </c>
      <c r="R74" s="98">
        <f>IF($A74="",NA(),$K74/1000)</f>
        <v/>
      </c>
    </row>
    <row r="75">
      <c r="A75" s="96">
        <f>IF('Directional Survey'!A49="","",'Directional Survey'!A49)</f>
        <v/>
      </c>
      <c r="B75" s="97">
        <f>IF($A75="","",'Directional Survey'!B49)</f>
        <v/>
      </c>
      <c r="C75" s="96">
        <f>IF(OR($A75="",'Directional Survey'!A50=""),"",'Directional Survey'!A50-$A75)</f>
        <v/>
      </c>
      <c r="D75" s="97">
        <f>IF($C75="","",($B75+'Directional Survey'!B50)/2)</f>
        <v/>
      </c>
      <c r="E75" s="97">
        <f>IF($C75="","",RADIANS('Directional Survey'!B50-$B75))</f>
        <v/>
      </c>
      <c r="F75" s="97">
        <f>IF($C75="","",RADIANS('Directional Survey'!C50-'Directional Survey'!C49))</f>
        <v/>
      </c>
      <c r="G75" s="97">
        <f>IF($C75="","",$B$27*IF(($A75+$A75+$C75)/2&gt;$B$11-$B$17,$B$16,$B$15))</f>
        <v/>
      </c>
      <c r="H75" s="96">
        <f>IF($A75="","",IF($C75="",0,$H76+$G75*$C75*COS(RADIANS($D75))+IF(($A75+$C75/2)&lt;=$B$12,$B$18,$B$19)*SQRT(($H76*$F75*SIN(RADIANS($D75)))^2+($H76*$E75+$G75*$C75*SIN(RADIANS($D75)))^2)))</f>
        <v/>
      </c>
      <c r="I75" s="96">
        <f>IF($A75="","",IF($C75="",-$B$20*1000,$I76+$G75*$C75*COS(RADIANS($D75))-IF(($A75+$C75/2)&lt;=$B$12,$B$18,$B$19)*SQRT(($I76*$F75*SIN(RADIANS($D75)))^2+($I76*$E75+$G75*$C75*SIN(RADIANS($D75)))^2)))</f>
        <v/>
      </c>
      <c r="J75" s="96">
        <f>IF($A75="","",IF($C75="",-$B$20*1000,$J76+$G75*$C75*COS(RADIANS($D75))))</f>
        <v/>
      </c>
      <c r="K75" s="96">
        <f>IF($A75="","",IF($C75="",$B$21,$K76+IF(($A75+$C75/2)&lt;=$B$12,$B$18,$B$19)*SQRT(($J76*$F75*SIN(RADIANS($D75)))^2+($J76*$E75+$G75*$C75*SIN(RADIANS($D75)))^2)*$B$22/24))</f>
        <v/>
      </c>
      <c r="L75" s="96">
        <f>IF($C75="","",2*SQRT($B$26*$B$28*($G75/12)*SIN(RADIANS(MAX($D75,3)))/(IF($A75&lt;=$B$12,$B$14,$B$13)-$B$24)/2))</f>
        <v/>
      </c>
      <c r="M75" s="9">
        <f>IF($C75="","",IF($I75&lt;-1.41*$L75,"HELICAL BUCKLING - CHECK",IF($I75&lt;-$L75,"SINUSOIDAL - MARGINAL","")))</f>
        <v/>
      </c>
      <c r="N75" s="98">
        <f>IF($A75="",NA(),$A75)</f>
        <v/>
      </c>
      <c r="O75" s="98">
        <f>IF($A75="",NA(),$H75/1000)</f>
        <v/>
      </c>
      <c r="P75" s="98">
        <f>IF($A75="",NA(),$I75/1000)</f>
        <v/>
      </c>
      <c r="Q75" s="98">
        <f>IF($A75="",NA(),$J75/1000)</f>
        <v/>
      </c>
      <c r="R75" s="98">
        <f>IF($A75="",NA(),$K75/1000)</f>
        <v/>
      </c>
    </row>
    <row r="76">
      <c r="A76" s="96">
        <f>IF('Directional Survey'!A50="","",'Directional Survey'!A50)</f>
        <v/>
      </c>
      <c r="B76" s="97">
        <f>IF($A76="","",'Directional Survey'!B50)</f>
        <v/>
      </c>
      <c r="C76" s="96">
        <f>IF(OR($A76="",'Directional Survey'!A51=""),"",'Directional Survey'!A51-$A76)</f>
        <v/>
      </c>
      <c r="D76" s="97">
        <f>IF($C76="","",($B76+'Directional Survey'!B51)/2)</f>
        <v/>
      </c>
      <c r="E76" s="97">
        <f>IF($C76="","",RADIANS('Directional Survey'!B51-$B76))</f>
        <v/>
      </c>
      <c r="F76" s="97">
        <f>IF($C76="","",RADIANS('Directional Survey'!C51-'Directional Survey'!C50))</f>
        <v/>
      </c>
      <c r="G76" s="97">
        <f>IF($C76="","",$B$27*IF(($A76+$A76+$C76)/2&gt;$B$11-$B$17,$B$16,$B$15))</f>
        <v/>
      </c>
      <c r="H76" s="96">
        <f>IF($A76="","",IF($C76="",0,$H77+$G76*$C76*COS(RADIANS($D76))+IF(($A76+$C76/2)&lt;=$B$12,$B$18,$B$19)*SQRT(($H77*$F76*SIN(RADIANS($D76)))^2+($H77*$E76+$G76*$C76*SIN(RADIANS($D76)))^2)))</f>
        <v/>
      </c>
      <c r="I76" s="96">
        <f>IF($A76="","",IF($C76="",-$B$20*1000,$I77+$G76*$C76*COS(RADIANS($D76))-IF(($A76+$C76/2)&lt;=$B$12,$B$18,$B$19)*SQRT(($I77*$F76*SIN(RADIANS($D76)))^2+($I77*$E76+$G76*$C76*SIN(RADIANS($D76)))^2)))</f>
        <v/>
      </c>
      <c r="J76" s="96">
        <f>IF($A76="","",IF($C76="",-$B$20*1000,$J77+$G76*$C76*COS(RADIANS($D76))))</f>
        <v/>
      </c>
      <c r="K76" s="96">
        <f>IF($A76="","",IF($C76="",$B$21,$K77+IF(($A76+$C76/2)&lt;=$B$12,$B$18,$B$19)*SQRT(($J77*$F76*SIN(RADIANS($D76)))^2+($J77*$E76+$G76*$C76*SIN(RADIANS($D76)))^2)*$B$22/24))</f>
        <v/>
      </c>
      <c r="L76" s="96">
        <f>IF($C76="","",2*SQRT($B$26*$B$28*($G76/12)*SIN(RADIANS(MAX($D76,3)))/(IF($A76&lt;=$B$12,$B$14,$B$13)-$B$24)/2))</f>
        <v/>
      </c>
      <c r="M76" s="9">
        <f>IF($C76="","",IF($I76&lt;-1.41*$L76,"HELICAL BUCKLING - CHECK",IF($I76&lt;-$L76,"SINUSOIDAL - MARGINAL","")))</f>
        <v/>
      </c>
      <c r="N76" s="98">
        <f>IF($A76="",NA(),$A76)</f>
        <v/>
      </c>
      <c r="O76" s="98">
        <f>IF($A76="",NA(),$H76/1000)</f>
        <v/>
      </c>
      <c r="P76" s="98">
        <f>IF($A76="",NA(),$I76/1000)</f>
        <v/>
      </c>
      <c r="Q76" s="98">
        <f>IF($A76="",NA(),$J76/1000)</f>
        <v/>
      </c>
      <c r="R76" s="98">
        <f>IF($A76="",NA(),$K76/1000)</f>
        <v/>
      </c>
    </row>
    <row r="77">
      <c r="A77" s="96">
        <f>IF('Directional Survey'!A51="","",'Directional Survey'!A51)</f>
        <v/>
      </c>
      <c r="B77" s="97">
        <f>IF($A77="","",'Directional Survey'!B51)</f>
        <v/>
      </c>
      <c r="C77" s="96">
        <f>IF(OR($A77="",'Directional Survey'!A52=""),"",'Directional Survey'!A52-$A77)</f>
        <v/>
      </c>
      <c r="D77" s="97">
        <f>IF($C77="","",($B77+'Directional Survey'!B52)/2)</f>
        <v/>
      </c>
      <c r="E77" s="97">
        <f>IF($C77="","",RADIANS('Directional Survey'!B52-$B77))</f>
        <v/>
      </c>
      <c r="F77" s="97">
        <f>IF($C77="","",RADIANS('Directional Survey'!C52-'Directional Survey'!C51))</f>
        <v/>
      </c>
      <c r="G77" s="97">
        <f>IF($C77="","",$B$27*IF(($A77+$A77+$C77)/2&gt;$B$11-$B$17,$B$16,$B$15))</f>
        <v/>
      </c>
      <c r="H77" s="96">
        <f>IF($A77="","",IF($C77="",0,$H78+$G77*$C77*COS(RADIANS($D77))+IF(($A77+$C77/2)&lt;=$B$12,$B$18,$B$19)*SQRT(($H78*$F77*SIN(RADIANS($D77)))^2+($H78*$E77+$G77*$C77*SIN(RADIANS($D77)))^2)))</f>
        <v/>
      </c>
      <c r="I77" s="96">
        <f>IF($A77="","",IF($C77="",-$B$20*1000,$I78+$G77*$C77*COS(RADIANS($D77))-IF(($A77+$C77/2)&lt;=$B$12,$B$18,$B$19)*SQRT(($I78*$F77*SIN(RADIANS($D77)))^2+($I78*$E77+$G77*$C77*SIN(RADIANS($D77)))^2)))</f>
        <v/>
      </c>
      <c r="J77" s="96">
        <f>IF($A77="","",IF($C77="",-$B$20*1000,$J78+$G77*$C77*COS(RADIANS($D77))))</f>
        <v/>
      </c>
      <c r="K77" s="96">
        <f>IF($A77="","",IF($C77="",$B$21,$K78+IF(($A77+$C77/2)&lt;=$B$12,$B$18,$B$19)*SQRT(($J78*$F77*SIN(RADIANS($D77)))^2+($J78*$E77+$G77*$C77*SIN(RADIANS($D77)))^2)*$B$22/24))</f>
        <v/>
      </c>
      <c r="L77" s="96">
        <f>IF($C77="","",2*SQRT($B$26*$B$28*($G77/12)*SIN(RADIANS(MAX($D77,3)))/(IF($A77&lt;=$B$12,$B$14,$B$13)-$B$24)/2))</f>
        <v/>
      </c>
      <c r="M77" s="9">
        <f>IF($C77="","",IF($I77&lt;-1.41*$L77,"HELICAL BUCKLING - CHECK",IF($I77&lt;-$L77,"SINUSOIDAL - MARGINAL","")))</f>
        <v/>
      </c>
      <c r="N77" s="98">
        <f>IF($A77="",NA(),$A77)</f>
        <v/>
      </c>
      <c r="O77" s="98">
        <f>IF($A77="",NA(),$H77/1000)</f>
        <v/>
      </c>
      <c r="P77" s="98">
        <f>IF($A77="",NA(),$I77/1000)</f>
        <v/>
      </c>
      <c r="Q77" s="98">
        <f>IF($A77="",NA(),$J77/1000)</f>
        <v/>
      </c>
      <c r="R77" s="98">
        <f>IF($A77="",NA(),$K77/1000)</f>
        <v/>
      </c>
    </row>
    <row r="78">
      <c r="A78" s="96">
        <f>IF('Directional Survey'!A52="","",'Directional Survey'!A52)</f>
        <v/>
      </c>
      <c r="B78" s="97">
        <f>IF($A78="","",'Directional Survey'!B52)</f>
        <v/>
      </c>
      <c r="C78" s="96">
        <f>IF(OR($A78="",'Directional Survey'!A53=""),"",'Directional Survey'!A53-$A78)</f>
        <v/>
      </c>
      <c r="D78" s="97">
        <f>IF($C78="","",($B78+'Directional Survey'!B53)/2)</f>
        <v/>
      </c>
      <c r="E78" s="97">
        <f>IF($C78="","",RADIANS('Directional Survey'!B53-$B78))</f>
        <v/>
      </c>
      <c r="F78" s="97">
        <f>IF($C78="","",RADIANS('Directional Survey'!C53-'Directional Survey'!C52))</f>
        <v/>
      </c>
      <c r="G78" s="97">
        <f>IF($C78="","",$B$27*IF(($A78+$A78+$C78)/2&gt;$B$11-$B$17,$B$16,$B$15))</f>
        <v/>
      </c>
      <c r="H78" s="96">
        <f>IF($A78="","",IF($C78="",0,$H79+$G78*$C78*COS(RADIANS($D78))+IF(($A78+$C78/2)&lt;=$B$12,$B$18,$B$19)*SQRT(($H79*$F78*SIN(RADIANS($D78)))^2+($H79*$E78+$G78*$C78*SIN(RADIANS($D78)))^2)))</f>
        <v/>
      </c>
      <c r="I78" s="96">
        <f>IF($A78="","",IF($C78="",-$B$20*1000,$I79+$G78*$C78*COS(RADIANS($D78))-IF(($A78+$C78/2)&lt;=$B$12,$B$18,$B$19)*SQRT(($I79*$F78*SIN(RADIANS($D78)))^2+($I79*$E78+$G78*$C78*SIN(RADIANS($D78)))^2)))</f>
        <v/>
      </c>
      <c r="J78" s="96">
        <f>IF($A78="","",IF($C78="",-$B$20*1000,$J79+$G78*$C78*COS(RADIANS($D78))))</f>
        <v/>
      </c>
      <c r="K78" s="96">
        <f>IF($A78="","",IF($C78="",$B$21,$K79+IF(($A78+$C78/2)&lt;=$B$12,$B$18,$B$19)*SQRT(($J79*$F78*SIN(RADIANS($D78)))^2+($J79*$E78+$G78*$C78*SIN(RADIANS($D78)))^2)*$B$22/24))</f>
        <v/>
      </c>
      <c r="L78" s="96">
        <f>IF($C78="","",2*SQRT($B$26*$B$28*($G78/12)*SIN(RADIANS(MAX($D78,3)))/(IF($A78&lt;=$B$12,$B$14,$B$13)-$B$24)/2))</f>
        <v/>
      </c>
      <c r="M78" s="9">
        <f>IF($C78="","",IF($I78&lt;-1.41*$L78,"HELICAL BUCKLING - CHECK",IF($I78&lt;-$L78,"SINUSOIDAL - MARGINAL","")))</f>
        <v/>
      </c>
      <c r="N78" s="98">
        <f>IF($A78="",NA(),$A78)</f>
        <v/>
      </c>
      <c r="O78" s="98">
        <f>IF($A78="",NA(),$H78/1000)</f>
        <v/>
      </c>
      <c r="P78" s="98">
        <f>IF($A78="",NA(),$I78/1000)</f>
        <v/>
      </c>
      <c r="Q78" s="98">
        <f>IF($A78="",NA(),$J78/1000)</f>
        <v/>
      </c>
      <c r="R78" s="98">
        <f>IF($A78="",NA(),$K78/1000)</f>
        <v/>
      </c>
    </row>
    <row r="79">
      <c r="A79" s="96">
        <f>IF('Directional Survey'!A53="","",'Directional Survey'!A53)</f>
        <v/>
      </c>
      <c r="B79" s="97">
        <f>IF($A79="","",'Directional Survey'!B53)</f>
        <v/>
      </c>
      <c r="C79" s="96">
        <f>IF(OR($A79="",'Directional Survey'!A54=""),"",'Directional Survey'!A54-$A79)</f>
        <v/>
      </c>
      <c r="D79" s="97">
        <f>IF($C79="","",($B79+'Directional Survey'!B54)/2)</f>
        <v/>
      </c>
      <c r="E79" s="97">
        <f>IF($C79="","",RADIANS('Directional Survey'!B54-$B79))</f>
        <v/>
      </c>
      <c r="F79" s="97">
        <f>IF($C79="","",RADIANS('Directional Survey'!C54-'Directional Survey'!C53))</f>
        <v/>
      </c>
      <c r="G79" s="97">
        <f>IF($C79="","",$B$27*IF(($A79+$A79+$C79)/2&gt;$B$11-$B$17,$B$16,$B$15))</f>
        <v/>
      </c>
      <c r="H79" s="96">
        <f>IF($A79="","",IF($C79="",0,$H80+$G79*$C79*COS(RADIANS($D79))+IF(($A79+$C79/2)&lt;=$B$12,$B$18,$B$19)*SQRT(($H80*$F79*SIN(RADIANS($D79)))^2+($H80*$E79+$G79*$C79*SIN(RADIANS($D79)))^2)))</f>
        <v/>
      </c>
      <c r="I79" s="96">
        <f>IF($A79="","",IF($C79="",-$B$20*1000,$I80+$G79*$C79*COS(RADIANS($D79))-IF(($A79+$C79/2)&lt;=$B$12,$B$18,$B$19)*SQRT(($I80*$F79*SIN(RADIANS($D79)))^2+($I80*$E79+$G79*$C79*SIN(RADIANS($D79)))^2)))</f>
        <v/>
      </c>
      <c r="J79" s="96">
        <f>IF($A79="","",IF($C79="",-$B$20*1000,$J80+$G79*$C79*COS(RADIANS($D79))))</f>
        <v/>
      </c>
      <c r="K79" s="96">
        <f>IF($A79="","",IF($C79="",$B$21,$K80+IF(($A79+$C79/2)&lt;=$B$12,$B$18,$B$19)*SQRT(($J80*$F79*SIN(RADIANS($D79)))^2+($J80*$E79+$G79*$C79*SIN(RADIANS($D79)))^2)*$B$22/24))</f>
        <v/>
      </c>
      <c r="L79" s="96">
        <f>IF($C79="","",2*SQRT($B$26*$B$28*($G79/12)*SIN(RADIANS(MAX($D79,3)))/(IF($A79&lt;=$B$12,$B$14,$B$13)-$B$24)/2))</f>
        <v/>
      </c>
      <c r="M79" s="9">
        <f>IF($C79="","",IF($I79&lt;-1.41*$L79,"HELICAL BUCKLING - CHECK",IF($I79&lt;-$L79,"SINUSOIDAL - MARGINAL","")))</f>
        <v/>
      </c>
      <c r="N79" s="98">
        <f>IF($A79="",NA(),$A79)</f>
        <v/>
      </c>
      <c r="O79" s="98">
        <f>IF($A79="",NA(),$H79/1000)</f>
        <v/>
      </c>
      <c r="P79" s="98">
        <f>IF($A79="",NA(),$I79/1000)</f>
        <v/>
      </c>
      <c r="Q79" s="98">
        <f>IF($A79="",NA(),$J79/1000)</f>
        <v/>
      </c>
      <c r="R79" s="98">
        <f>IF($A79="",NA(),$K79/1000)</f>
        <v/>
      </c>
    </row>
    <row r="80">
      <c r="A80" s="96">
        <f>IF('Directional Survey'!A54="","",'Directional Survey'!A54)</f>
        <v/>
      </c>
      <c r="B80" s="97">
        <f>IF($A80="","",'Directional Survey'!B54)</f>
        <v/>
      </c>
      <c r="C80" s="96">
        <f>IF(OR($A80="",'Directional Survey'!A55=""),"",'Directional Survey'!A55-$A80)</f>
        <v/>
      </c>
      <c r="D80" s="97">
        <f>IF($C80="","",($B80+'Directional Survey'!B55)/2)</f>
        <v/>
      </c>
      <c r="E80" s="97">
        <f>IF($C80="","",RADIANS('Directional Survey'!B55-$B80))</f>
        <v/>
      </c>
      <c r="F80" s="97">
        <f>IF($C80="","",RADIANS('Directional Survey'!C55-'Directional Survey'!C54))</f>
        <v/>
      </c>
      <c r="G80" s="97">
        <f>IF($C80="","",$B$27*IF(($A80+$A80+$C80)/2&gt;$B$11-$B$17,$B$16,$B$15))</f>
        <v/>
      </c>
      <c r="H80" s="96">
        <f>IF($A80="","",IF($C80="",0,$H81+$G80*$C80*COS(RADIANS($D80))+IF(($A80+$C80/2)&lt;=$B$12,$B$18,$B$19)*SQRT(($H81*$F80*SIN(RADIANS($D80)))^2+($H81*$E80+$G80*$C80*SIN(RADIANS($D80)))^2)))</f>
        <v/>
      </c>
      <c r="I80" s="96">
        <f>IF($A80="","",IF($C80="",-$B$20*1000,$I81+$G80*$C80*COS(RADIANS($D80))-IF(($A80+$C80/2)&lt;=$B$12,$B$18,$B$19)*SQRT(($I81*$F80*SIN(RADIANS($D80)))^2+($I81*$E80+$G80*$C80*SIN(RADIANS($D80)))^2)))</f>
        <v/>
      </c>
      <c r="J80" s="96">
        <f>IF($A80="","",IF($C80="",-$B$20*1000,$J81+$G80*$C80*COS(RADIANS($D80))))</f>
        <v/>
      </c>
      <c r="K80" s="96">
        <f>IF($A80="","",IF($C80="",$B$21,$K81+IF(($A80+$C80/2)&lt;=$B$12,$B$18,$B$19)*SQRT(($J81*$F80*SIN(RADIANS($D80)))^2+($J81*$E80+$G80*$C80*SIN(RADIANS($D80)))^2)*$B$22/24))</f>
        <v/>
      </c>
      <c r="L80" s="96">
        <f>IF($C80="","",2*SQRT($B$26*$B$28*($G80/12)*SIN(RADIANS(MAX($D80,3)))/(IF($A80&lt;=$B$12,$B$14,$B$13)-$B$24)/2))</f>
        <v/>
      </c>
      <c r="M80" s="9">
        <f>IF($C80="","",IF($I80&lt;-1.41*$L80,"HELICAL BUCKLING - CHECK",IF($I80&lt;-$L80,"SINUSOIDAL - MARGINAL","")))</f>
        <v/>
      </c>
      <c r="N80" s="98">
        <f>IF($A80="",NA(),$A80)</f>
        <v/>
      </c>
      <c r="O80" s="98">
        <f>IF($A80="",NA(),$H80/1000)</f>
        <v/>
      </c>
      <c r="P80" s="98">
        <f>IF($A80="",NA(),$I80/1000)</f>
        <v/>
      </c>
      <c r="Q80" s="98">
        <f>IF($A80="",NA(),$J80/1000)</f>
        <v/>
      </c>
      <c r="R80" s="98">
        <f>IF($A80="",NA(),$K80/1000)</f>
        <v/>
      </c>
    </row>
    <row r="81">
      <c r="A81" s="96">
        <f>IF('Directional Survey'!A55="","",'Directional Survey'!A55)</f>
        <v/>
      </c>
      <c r="B81" s="97">
        <f>IF($A81="","",'Directional Survey'!B55)</f>
        <v/>
      </c>
      <c r="C81" s="96">
        <f>IF(OR($A81="",'Directional Survey'!A56=""),"",'Directional Survey'!A56-$A81)</f>
        <v/>
      </c>
      <c r="D81" s="97">
        <f>IF($C81="","",($B81+'Directional Survey'!B56)/2)</f>
        <v/>
      </c>
      <c r="E81" s="97">
        <f>IF($C81="","",RADIANS('Directional Survey'!B56-$B81))</f>
        <v/>
      </c>
      <c r="F81" s="97">
        <f>IF($C81="","",RADIANS('Directional Survey'!C56-'Directional Survey'!C55))</f>
        <v/>
      </c>
      <c r="G81" s="97">
        <f>IF($C81="","",$B$27*IF(($A81+$A81+$C81)/2&gt;$B$11-$B$17,$B$16,$B$15))</f>
        <v/>
      </c>
      <c r="H81" s="96">
        <f>IF($A81="","",IF($C81="",0,$H82+$G81*$C81*COS(RADIANS($D81))+IF(($A81+$C81/2)&lt;=$B$12,$B$18,$B$19)*SQRT(($H82*$F81*SIN(RADIANS($D81)))^2+($H82*$E81+$G81*$C81*SIN(RADIANS($D81)))^2)))</f>
        <v/>
      </c>
      <c r="I81" s="96">
        <f>IF($A81="","",IF($C81="",-$B$20*1000,$I82+$G81*$C81*COS(RADIANS($D81))-IF(($A81+$C81/2)&lt;=$B$12,$B$18,$B$19)*SQRT(($I82*$F81*SIN(RADIANS($D81)))^2+($I82*$E81+$G81*$C81*SIN(RADIANS($D81)))^2)))</f>
        <v/>
      </c>
      <c r="J81" s="96">
        <f>IF($A81="","",IF($C81="",-$B$20*1000,$J82+$G81*$C81*COS(RADIANS($D81))))</f>
        <v/>
      </c>
      <c r="K81" s="96">
        <f>IF($A81="","",IF($C81="",$B$21,$K82+IF(($A81+$C81/2)&lt;=$B$12,$B$18,$B$19)*SQRT(($J82*$F81*SIN(RADIANS($D81)))^2+($J82*$E81+$G81*$C81*SIN(RADIANS($D81)))^2)*$B$22/24))</f>
        <v/>
      </c>
      <c r="L81" s="96">
        <f>IF($C81="","",2*SQRT($B$26*$B$28*($G81/12)*SIN(RADIANS(MAX($D81,3)))/(IF($A81&lt;=$B$12,$B$14,$B$13)-$B$24)/2))</f>
        <v/>
      </c>
      <c r="M81" s="9">
        <f>IF($C81="","",IF($I81&lt;-1.41*$L81,"HELICAL BUCKLING - CHECK",IF($I81&lt;-$L81,"SINUSOIDAL - MARGINAL","")))</f>
        <v/>
      </c>
      <c r="N81" s="98">
        <f>IF($A81="",NA(),$A81)</f>
        <v/>
      </c>
      <c r="O81" s="98">
        <f>IF($A81="",NA(),$H81/1000)</f>
        <v/>
      </c>
      <c r="P81" s="98">
        <f>IF($A81="",NA(),$I81/1000)</f>
        <v/>
      </c>
      <c r="Q81" s="98">
        <f>IF($A81="",NA(),$J81/1000)</f>
        <v/>
      </c>
      <c r="R81" s="98">
        <f>IF($A81="",NA(),$K81/1000)</f>
        <v/>
      </c>
    </row>
    <row r="82">
      <c r="A82" s="96">
        <f>IF('Directional Survey'!A56="","",'Directional Survey'!A56)</f>
        <v/>
      </c>
      <c r="B82" s="97">
        <f>IF($A82="","",'Directional Survey'!B56)</f>
        <v/>
      </c>
      <c r="C82" s="96">
        <f>IF(OR($A82="",'Directional Survey'!A57=""),"",'Directional Survey'!A57-$A82)</f>
        <v/>
      </c>
      <c r="D82" s="97">
        <f>IF($C82="","",($B82+'Directional Survey'!B57)/2)</f>
        <v/>
      </c>
      <c r="E82" s="97">
        <f>IF($C82="","",RADIANS('Directional Survey'!B57-$B82))</f>
        <v/>
      </c>
      <c r="F82" s="97">
        <f>IF($C82="","",RADIANS('Directional Survey'!C57-'Directional Survey'!C56))</f>
        <v/>
      </c>
      <c r="G82" s="97">
        <f>IF($C82="","",$B$27*IF(($A82+$A82+$C82)/2&gt;$B$11-$B$17,$B$16,$B$15))</f>
        <v/>
      </c>
      <c r="H82" s="96">
        <f>IF($A82="","",IF($C82="",0,$H83+$G82*$C82*COS(RADIANS($D82))+IF(($A82+$C82/2)&lt;=$B$12,$B$18,$B$19)*SQRT(($H83*$F82*SIN(RADIANS($D82)))^2+($H83*$E82+$G82*$C82*SIN(RADIANS($D82)))^2)))</f>
        <v/>
      </c>
      <c r="I82" s="96">
        <f>IF($A82="","",IF($C82="",-$B$20*1000,$I83+$G82*$C82*COS(RADIANS($D82))-IF(($A82+$C82/2)&lt;=$B$12,$B$18,$B$19)*SQRT(($I83*$F82*SIN(RADIANS($D82)))^2+($I83*$E82+$G82*$C82*SIN(RADIANS($D82)))^2)))</f>
        <v/>
      </c>
      <c r="J82" s="96">
        <f>IF($A82="","",IF($C82="",-$B$20*1000,$J83+$G82*$C82*COS(RADIANS($D82))))</f>
        <v/>
      </c>
      <c r="K82" s="96">
        <f>IF($A82="","",IF($C82="",$B$21,$K83+IF(($A82+$C82/2)&lt;=$B$12,$B$18,$B$19)*SQRT(($J83*$F82*SIN(RADIANS($D82)))^2+($J83*$E82+$G82*$C82*SIN(RADIANS($D82)))^2)*$B$22/24))</f>
        <v/>
      </c>
      <c r="L82" s="96">
        <f>IF($C82="","",2*SQRT($B$26*$B$28*($G82/12)*SIN(RADIANS(MAX($D82,3)))/(IF($A82&lt;=$B$12,$B$14,$B$13)-$B$24)/2))</f>
        <v/>
      </c>
      <c r="M82" s="9">
        <f>IF($C82="","",IF($I82&lt;-1.41*$L82,"HELICAL BUCKLING - CHECK",IF($I82&lt;-$L82,"SINUSOIDAL - MARGINAL","")))</f>
        <v/>
      </c>
      <c r="N82" s="98">
        <f>IF($A82="",NA(),$A82)</f>
        <v/>
      </c>
      <c r="O82" s="98">
        <f>IF($A82="",NA(),$H82/1000)</f>
        <v/>
      </c>
      <c r="P82" s="98">
        <f>IF($A82="",NA(),$I82/1000)</f>
        <v/>
      </c>
      <c r="Q82" s="98">
        <f>IF($A82="",NA(),$J82/1000)</f>
        <v/>
      </c>
      <c r="R82" s="98">
        <f>IF($A82="",NA(),$K82/1000)</f>
        <v/>
      </c>
    </row>
    <row r="83">
      <c r="A83" s="96">
        <f>IF('Directional Survey'!A57="","",'Directional Survey'!A57)</f>
        <v/>
      </c>
      <c r="B83" s="97">
        <f>IF($A83="","",'Directional Survey'!B57)</f>
        <v/>
      </c>
      <c r="C83" s="96">
        <f>IF(OR($A83="",'Directional Survey'!A58=""),"",'Directional Survey'!A58-$A83)</f>
        <v/>
      </c>
      <c r="D83" s="97">
        <f>IF($C83="","",($B83+'Directional Survey'!B58)/2)</f>
        <v/>
      </c>
      <c r="E83" s="97">
        <f>IF($C83="","",RADIANS('Directional Survey'!B58-$B83))</f>
        <v/>
      </c>
      <c r="F83" s="97">
        <f>IF($C83="","",RADIANS('Directional Survey'!C58-'Directional Survey'!C57))</f>
        <v/>
      </c>
      <c r="G83" s="97">
        <f>IF($C83="","",$B$27*IF(($A83+$A83+$C83)/2&gt;$B$11-$B$17,$B$16,$B$15))</f>
        <v/>
      </c>
      <c r="H83" s="96">
        <f>IF($A83="","",IF($C83="",0,$H84+$G83*$C83*COS(RADIANS($D83))+IF(($A83+$C83/2)&lt;=$B$12,$B$18,$B$19)*SQRT(($H84*$F83*SIN(RADIANS($D83)))^2+($H84*$E83+$G83*$C83*SIN(RADIANS($D83)))^2)))</f>
        <v/>
      </c>
      <c r="I83" s="96">
        <f>IF($A83="","",IF($C83="",-$B$20*1000,$I84+$G83*$C83*COS(RADIANS($D83))-IF(($A83+$C83/2)&lt;=$B$12,$B$18,$B$19)*SQRT(($I84*$F83*SIN(RADIANS($D83)))^2+($I84*$E83+$G83*$C83*SIN(RADIANS($D83)))^2)))</f>
        <v/>
      </c>
      <c r="J83" s="96">
        <f>IF($A83="","",IF($C83="",-$B$20*1000,$J84+$G83*$C83*COS(RADIANS($D83))))</f>
        <v/>
      </c>
      <c r="K83" s="96">
        <f>IF($A83="","",IF($C83="",$B$21,$K84+IF(($A83+$C83/2)&lt;=$B$12,$B$18,$B$19)*SQRT(($J84*$F83*SIN(RADIANS($D83)))^2+($J84*$E83+$G83*$C83*SIN(RADIANS($D83)))^2)*$B$22/24))</f>
        <v/>
      </c>
      <c r="L83" s="96">
        <f>IF($C83="","",2*SQRT($B$26*$B$28*($G83/12)*SIN(RADIANS(MAX($D83,3)))/(IF($A83&lt;=$B$12,$B$14,$B$13)-$B$24)/2))</f>
        <v/>
      </c>
      <c r="M83" s="9">
        <f>IF($C83="","",IF($I83&lt;-1.41*$L83,"HELICAL BUCKLING - CHECK",IF($I83&lt;-$L83,"SINUSOIDAL - MARGINAL","")))</f>
        <v/>
      </c>
      <c r="N83" s="98">
        <f>IF($A83="",NA(),$A83)</f>
        <v/>
      </c>
      <c r="O83" s="98">
        <f>IF($A83="",NA(),$H83/1000)</f>
        <v/>
      </c>
      <c r="P83" s="98">
        <f>IF($A83="",NA(),$I83/1000)</f>
        <v/>
      </c>
      <c r="Q83" s="98">
        <f>IF($A83="",NA(),$J83/1000)</f>
        <v/>
      </c>
      <c r="R83" s="98">
        <f>IF($A83="",NA(),$K83/1000)</f>
        <v/>
      </c>
    </row>
    <row r="84">
      <c r="A84" s="96">
        <f>IF('Directional Survey'!A58="","",'Directional Survey'!A58)</f>
        <v/>
      </c>
      <c r="B84" s="97">
        <f>IF($A84="","",'Directional Survey'!B58)</f>
        <v/>
      </c>
      <c r="C84" s="96">
        <f>IF(OR($A84="",'Directional Survey'!A59=""),"",'Directional Survey'!A59-$A84)</f>
        <v/>
      </c>
      <c r="D84" s="97">
        <f>IF($C84="","",($B84+'Directional Survey'!B59)/2)</f>
        <v/>
      </c>
      <c r="E84" s="97">
        <f>IF($C84="","",RADIANS('Directional Survey'!B59-$B84))</f>
        <v/>
      </c>
      <c r="F84" s="97">
        <f>IF($C84="","",RADIANS('Directional Survey'!C59-'Directional Survey'!C58))</f>
        <v/>
      </c>
      <c r="G84" s="97">
        <f>IF($C84="","",$B$27*IF(($A84+$A84+$C84)/2&gt;$B$11-$B$17,$B$16,$B$15))</f>
        <v/>
      </c>
      <c r="H84" s="96">
        <f>IF($A84="","",IF($C84="",0,$H85+$G84*$C84*COS(RADIANS($D84))+IF(($A84+$C84/2)&lt;=$B$12,$B$18,$B$19)*SQRT(($H85*$F84*SIN(RADIANS($D84)))^2+($H85*$E84+$G84*$C84*SIN(RADIANS($D84)))^2)))</f>
        <v/>
      </c>
      <c r="I84" s="96">
        <f>IF($A84="","",IF($C84="",-$B$20*1000,$I85+$G84*$C84*COS(RADIANS($D84))-IF(($A84+$C84/2)&lt;=$B$12,$B$18,$B$19)*SQRT(($I85*$F84*SIN(RADIANS($D84)))^2+($I85*$E84+$G84*$C84*SIN(RADIANS($D84)))^2)))</f>
        <v/>
      </c>
      <c r="J84" s="96">
        <f>IF($A84="","",IF($C84="",-$B$20*1000,$J85+$G84*$C84*COS(RADIANS($D84))))</f>
        <v/>
      </c>
      <c r="K84" s="96">
        <f>IF($A84="","",IF($C84="",$B$21,$K85+IF(($A84+$C84/2)&lt;=$B$12,$B$18,$B$19)*SQRT(($J85*$F84*SIN(RADIANS($D84)))^2+($J85*$E84+$G84*$C84*SIN(RADIANS($D84)))^2)*$B$22/24))</f>
        <v/>
      </c>
      <c r="L84" s="96">
        <f>IF($C84="","",2*SQRT($B$26*$B$28*($G84/12)*SIN(RADIANS(MAX($D84,3)))/(IF($A84&lt;=$B$12,$B$14,$B$13)-$B$24)/2))</f>
        <v/>
      </c>
      <c r="M84" s="9">
        <f>IF($C84="","",IF($I84&lt;-1.41*$L84,"HELICAL BUCKLING - CHECK",IF($I84&lt;-$L84,"SINUSOIDAL - MARGINAL","")))</f>
        <v/>
      </c>
      <c r="N84" s="98">
        <f>IF($A84="",NA(),$A84)</f>
        <v/>
      </c>
      <c r="O84" s="98">
        <f>IF($A84="",NA(),$H84/1000)</f>
        <v/>
      </c>
      <c r="P84" s="98">
        <f>IF($A84="",NA(),$I84/1000)</f>
        <v/>
      </c>
      <c r="Q84" s="98">
        <f>IF($A84="",NA(),$J84/1000)</f>
        <v/>
      </c>
      <c r="R84" s="98">
        <f>IF($A84="",NA(),$K84/1000)</f>
        <v/>
      </c>
    </row>
    <row r="85">
      <c r="A85" s="96">
        <f>IF('Directional Survey'!A59="","",'Directional Survey'!A59)</f>
        <v/>
      </c>
      <c r="B85" s="97">
        <f>IF($A85="","",'Directional Survey'!B59)</f>
        <v/>
      </c>
      <c r="C85" s="96">
        <f>IF(OR($A85="",'Directional Survey'!A60=""),"",'Directional Survey'!A60-$A85)</f>
        <v/>
      </c>
      <c r="D85" s="97">
        <f>IF($C85="","",($B85+'Directional Survey'!B60)/2)</f>
        <v/>
      </c>
      <c r="E85" s="97">
        <f>IF($C85="","",RADIANS('Directional Survey'!B60-$B85))</f>
        <v/>
      </c>
      <c r="F85" s="97">
        <f>IF($C85="","",RADIANS('Directional Survey'!C60-'Directional Survey'!C59))</f>
        <v/>
      </c>
      <c r="G85" s="97">
        <f>IF($C85="","",$B$27*IF(($A85+$A85+$C85)/2&gt;$B$11-$B$17,$B$16,$B$15))</f>
        <v/>
      </c>
      <c r="H85" s="96">
        <f>IF($A85="","",IF($C85="",0,$H86+$G85*$C85*COS(RADIANS($D85))+IF(($A85+$C85/2)&lt;=$B$12,$B$18,$B$19)*SQRT(($H86*$F85*SIN(RADIANS($D85)))^2+($H86*$E85+$G85*$C85*SIN(RADIANS($D85)))^2)))</f>
        <v/>
      </c>
      <c r="I85" s="96">
        <f>IF($A85="","",IF($C85="",-$B$20*1000,$I86+$G85*$C85*COS(RADIANS($D85))-IF(($A85+$C85/2)&lt;=$B$12,$B$18,$B$19)*SQRT(($I86*$F85*SIN(RADIANS($D85)))^2+($I86*$E85+$G85*$C85*SIN(RADIANS($D85)))^2)))</f>
        <v/>
      </c>
      <c r="J85" s="96">
        <f>IF($A85="","",IF($C85="",-$B$20*1000,$J86+$G85*$C85*COS(RADIANS($D85))))</f>
        <v/>
      </c>
      <c r="K85" s="96">
        <f>IF($A85="","",IF($C85="",$B$21,$K86+IF(($A85+$C85/2)&lt;=$B$12,$B$18,$B$19)*SQRT(($J86*$F85*SIN(RADIANS($D85)))^2+($J86*$E85+$G85*$C85*SIN(RADIANS($D85)))^2)*$B$22/24))</f>
        <v/>
      </c>
      <c r="L85" s="96">
        <f>IF($C85="","",2*SQRT($B$26*$B$28*($G85/12)*SIN(RADIANS(MAX($D85,3)))/(IF($A85&lt;=$B$12,$B$14,$B$13)-$B$24)/2))</f>
        <v/>
      </c>
      <c r="M85" s="9">
        <f>IF($C85="","",IF($I85&lt;-1.41*$L85,"HELICAL BUCKLING - CHECK",IF($I85&lt;-$L85,"SINUSOIDAL - MARGINAL","")))</f>
        <v/>
      </c>
      <c r="N85" s="98">
        <f>IF($A85="",NA(),$A85)</f>
        <v/>
      </c>
      <c r="O85" s="98">
        <f>IF($A85="",NA(),$H85/1000)</f>
        <v/>
      </c>
      <c r="P85" s="98">
        <f>IF($A85="",NA(),$I85/1000)</f>
        <v/>
      </c>
      <c r="Q85" s="98">
        <f>IF($A85="",NA(),$J85/1000)</f>
        <v/>
      </c>
      <c r="R85" s="98">
        <f>IF($A85="",NA(),$K85/1000)</f>
        <v/>
      </c>
    </row>
    <row r="86">
      <c r="A86" s="96">
        <f>IF('Directional Survey'!A60="","",'Directional Survey'!A60)</f>
        <v/>
      </c>
      <c r="B86" s="97">
        <f>IF($A86="","",'Directional Survey'!B60)</f>
        <v/>
      </c>
      <c r="C86" s="96">
        <f>IF(OR($A86="",'Directional Survey'!A61=""),"",'Directional Survey'!A61-$A86)</f>
        <v/>
      </c>
      <c r="D86" s="97">
        <f>IF($C86="","",($B86+'Directional Survey'!B61)/2)</f>
        <v/>
      </c>
      <c r="E86" s="97">
        <f>IF($C86="","",RADIANS('Directional Survey'!B61-$B86))</f>
        <v/>
      </c>
      <c r="F86" s="97">
        <f>IF($C86="","",RADIANS('Directional Survey'!C61-'Directional Survey'!C60))</f>
        <v/>
      </c>
      <c r="G86" s="97">
        <f>IF($C86="","",$B$27*IF(($A86+$A86+$C86)/2&gt;$B$11-$B$17,$B$16,$B$15))</f>
        <v/>
      </c>
      <c r="H86" s="96">
        <f>IF($A86="","",IF($C86="",0,$H87+$G86*$C86*COS(RADIANS($D86))+IF(($A86+$C86/2)&lt;=$B$12,$B$18,$B$19)*SQRT(($H87*$F86*SIN(RADIANS($D86)))^2+($H87*$E86+$G86*$C86*SIN(RADIANS($D86)))^2)))</f>
        <v/>
      </c>
      <c r="I86" s="96">
        <f>IF($A86="","",IF($C86="",-$B$20*1000,$I87+$G86*$C86*COS(RADIANS($D86))-IF(($A86+$C86/2)&lt;=$B$12,$B$18,$B$19)*SQRT(($I87*$F86*SIN(RADIANS($D86)))^2+($I87*$E86+$G86*$C86*SIN(RADIANS($D86)))^2)))</f>
        <v/>
      </c>
      <c r="J86" s="96">
        <f>IF($A86="","",IF($C86="",-$B$20*1000,$J87+$G86*$C86*COS(RADIANS($D86))))</f>
        <v/>
      </c>
      <c r="K86" s="96">
        <f>IF($A86="","",IF($C86="",$B$21,$K87+IF(($A86+$C86/2)&lt;=$B$12,$B$18,$B$19)*SQRT(($J87*$F86*SIN(RADIANS($D86)))^2+($J87*$E86+$G86*$C86*SIN(RADIANS($D86)))^2)*$B$22/24))</f>
        <v/>
      </c>
      <c r="L86" s="96">
        <f>IF($C86="","",2*SQRT($B$26*$B$28*($G86/12)*SIN(RADIANS(MAX($D86,3)))/(IF($A86&lt;=$B$12,$B$14,$B$13)-$B$24)/2))</f>
        <v/>
      </c>
      <c r="M86" s="9">
        <f>IF($C86="","",IF($I86&lt;-1.41*$L86,"HELICAL BUCKLING - CHECK",IF($I86&lt;-$L86,"SINUSOIDAL - MARGINAL","")))</f>
        <v/>
      </c>
      <c r="N86" s="98">
        <f>IF($A86="",NA(),$A86)</f>
        <v/>
      </c>
      <c r="O86" s="98">
        <f>IF($A86="",NA(),$H86/1000)</f>
        <v/>
      </c>
      <c r="P86" s="98">
        <f>IF($A86="",NA(),$I86/1000)</f>
        <v/>
      </c>
      <c r="Q86" s="98">
        <f>IF($A86="",NA(),$J86/1000)</f>
        <v/>
      </c>
      <c r="R86" s="98">
        <f>IF($A86="",NA(),$K86/1000)</f>
        <v/>
      </c>
    </row>
    <row r="87">
      <c r="A87" s="96">
        <f>IF('Directional Survey'!A61="","",'Directional Survey'!A61)</f>
        <v/>
      </c>
      <c r="B87" s="97">
        <f>IF($A87="","",'Directional Survey'!B61)</f>
        <v/>
      </c>
      <c r="C87" s="96">
        <f>IF(OR($A87="",'Directional Survey'!A62=""),"",'Directional Survey'!A62-$A87)</f>
        <v/>
      </c>
      <c r="D87" s="97">
        <f>IF($C87="","",($B87+'Directional Survey'!B62)/2)</f>
        <v/>
      </c>
      <c r="E87" s="97">
        <f>IF($C87="","",RADIANS('Directional Survey'!B62-$B87))</f>
        <v/>
      </c>
      <c r="F87" s="97">
        <f>IF($C87="","",RADIANS('Directional Survey'!C62-'Directional Survey'!C61))</f>
        <v/>
      </c>
      <c r="G87" s="97">
        <f>IF($C87="","",$B$27*IF(($A87+$A87+$C87)/2&gt;$B$11-$B$17,$B$16,$B$15))</f>
        <v/>
      </c>
      <c r="H87" s="96">
        <f>IF($A87="","",IF($C87="",0,$H88+$G87*$C87*COS(RADIANS($D87))+IF(($A87+$C87/2)&lt;=$B$12,$B$18,$B$19)*SQRT(($H88*$F87*SIN(RADIANS($D87)))^2+($H88*$E87+$G87*$C87*SIN(RADIANS($D87)))^2)))</f>
        <v/>
      </c>
      <c r="I87" s="96">
        <f>IF($A87="","",IF($C87="",-$B$20*1000,$I88+$G87*$C87*COS(RADIANS($D87))-IF(($A87+$C87/2)&lt;=$B$12,$B$18,$B$19)*SQRT(($I88*$F87*SIN(RADIANS($D87)))^2+($I88*$E87+$G87*$C87*SIN(RADIANS($D87)))^2)))</f>
        <v/>
      </c>
      <c r="J87" s="96">
        <f>IF($A87="","",IF($C87="",-$B$20*1000,$J88+$G87*$C87*COS(RADIANS($D87))))</f>
        <v/>
      </c>
      <c r="K87" s="96">
        <f>IF($A87="","",IF($C87="",$B$21,$K88+IF(($A87+$C87/2)&lt;=$B$12,$B$18,$B$19)*SQRT(($J88*$F87*SIN(RADIANS($D87)))^2+($J88*$E87+$G87*$C87*SIN(RADIANS($D87)))^2)*$B$22/24))</f>
        <v/>
      </c>
      <c r="L87" s="96">
        <f>IF($C87="","",2*SQRT($B$26*$B$28*($G87/12)*SIN(RADIANS(MAX($D87,3)))/(IF($A87&lt;=$B$12,$B$14,$B$13)-$B$24)/2))</f>
        <v/>
      </c>
      <c r="M87" s="9">
        <f>IF($C87="","",IF($I87&lt;-1.41*$L87,"HELICAL BUCKLING - CHECK",IF($I87&lt;-$L87,"SINUSOIDAL - MARGINAL","")))</f>
        <v/>
      </c>
      <c r="N87" s="98">
        <f>IF($A87="",NA(),$A87)</f>
        <v/>
      </c>
      <c r="O87" s="98">
        <f>IF($A87="",NA(),$H87/1000)</f>
        <v/>
      </c>
      <c r="P87" s="98">
        <f>IF($A87="",NA(),$I87/1000)</f>
        <v/>
      </c>
      <c r="Q87" s="98">
        <f>IF($A87="",NA(),$J87/1000)</f>
        <v/>
      </c>
      <c r="R87" s="98">
        <f>IF($A87="",NA(),$K87/1000)</f>
        <v/>
      </c>
    </row>
    <row r="88">
      <c r="A88" s="96">
        <f>IF('Directional Survey'!A62="","",'Directional Survey'!A62)</f>
        <v/>
      </c>
      <c r="B88" s="97">
        <f>IF($A88="","",'Directional Survey'!B62)</f>
        <v/>
      </c>
      <c r="C88" s="96">
        <f>IF(OR($A88="",'Directional Survey'!A63=""),"",'Directional Survey'!A63-$A88)</f>
        <v/>
      </c>
      <c r="D88" s="97">
        <f>IF($C88="","",($B88+'Directional Survey'!B63)/2)</f>
        <v/>
      </c>
      <c r="E88" s="97">
        <f>IF($C88="","",RADIANS('Directional Survey'!B63-$B88))</f>
        <v/>
      </c>
      <c r="F88" s="97">
        <f>IF($C88="","",RADIANS('Directional Survey'!C63-'Directional Survey'!C62))</f>
        <v/>
      </c>
      <c r="G88" s="97">
        <f>IF($C88="","",$B$27*IF(($A88+$A88+$C88)/2&gt;$B$11-$B$17,$B$16,$B$15))</f>
        <v/>
      </c>
      <c r="H88" s="96">
        <f>IF($A88="","",IF($C88="",0,$H89+$G88*$C88*COS(RADIANS($D88))+IF(($A88+$C88/2)&lt;=$B$12,$B$18,$B$19)*SQRT(($H89*$F88*SIN(RADIANS($D88)))^2+($H89*$E88+$G88*$C88*SIN(RADIANS($D88)))^2)))</f>
        <v/>
      </c>
      <c r="I88" s="96">
        <f>IF($A88="","",IF($C88="",-$B$20*1000,$I89+$G88*$C88*COS(RADIANS($D88))-IF(($A88+$C88/2)&lt;=$B$12,$B$18,$B$19)*SQRT(($I89*$F88*SIN(RADIANS($D88)))^2+($I89*$E88+$G88*$C88*SIN(RADIANS($D88)))^2)))</f>
        <v/>
      </c>
      <c r="J88" s="96">
        <f>IF($A88="","",IF($C88="",-$B$20*1000,$J89+$G88*$C88*COS(RADIANS($D88))))</f>
        <v/>
      </c>
      <c r="K88" s="96">
        <f>IF($A88="","",IF($C88="",$B$21,$K89+IF(($A88+$C88/2)&lt;=$B$12,$B$18,$B$19)*SQRT(($J89*$F88*SIN(RADIANS($D88)))^2+($J89*$E88+$G88*$C88*SIN(RADIANS($D88)))^2)*$B$22/24))</f>
        <v/>
      </c>
      <c r="L88" s="96">
        <f>IF($C88="","",2*SQRT($B$26*$B$28*($G88/12)*SIN(RADIANS(MAX($D88,3)))/(IF($A88&lt;=$B$12,$B$14,$B$13)-$B$24)/2))</f>
        <v/>
      </c>
      <c r="M88" s="9">
        <f>IF($C88="","",IF($I88&lt;-1.41*$L88,"HELICAL BUCKLING - CHECK",IF($I88&lt;-$L88,"SINUSOIDAL - MARGINAL","")))</f>
        <v/>
      </c>
      <c r="N88" s="98">
        <f>IF($A88="",NA(),$A88)</f>
        <v/>
      </c>
      <c r="O88" s="98">
        <f>IF($A88="",NA(),$H88/1000)</f>
        <v/>
      </c>
      <c r="P88" s="98">
        <f>IF($A88="",NA(),$I88/1000)</f>
        <v/>
      </c>
      <c r="Q88" s="98">
        <f>IF($A88="",NA(),$J88/1000)</f>
        <v/>
      </c>
      <c r="R88" s="98">
        <f>IF($A88="",NA(),$K88/1000)</f>
        <v/>
      </c>
    </row>
    <row r="89">
      <c r="A89" s="96">
        <f>IF('Directional Survey'!A63="","",'Directional Survey'!A63)</f>
        <v/>
      </c>
      <c r="B89" s="97">
        <f>IF($A89="","",'Directional Survey'!B63)</f>
        <v/>
      </c>
      <c r="C89" s="96">
        <f>IF(OR($A89="",'Directional Survey'!A64=""),"",'Directional Survey'!A64-$A89)</f>
        <v/>
      </c>
      <c r="D89" s="97">
        <f>IF($C89="","",($B89+'Directional Survey'!B64)/2)</f>
        <v/>
      </c>
      <c r="E89" s="97">
        <f>IF($C89="","",RADIANS('Directional Survey'!B64-$B89))</f>
        <v/>
      </c>
      <c r="F89" s="97">
        <f>IF($C89="","",RADIANS('Directional Survey'!C64-'Directional Survey'!C63))</f>
        <v/>
      </c>
      <c r="G89" s="97">
        <f>IF($C89="","",$B$27*IF(($A89+$A89+$C89)/2&gt;$B$11-$B$17,$B$16,$B$15))</f>
        <v/>
      </c>
      <c r="H89" s="96">
        <f>IF($A89="","",IF($C89="",0,$H90+$G89*$C89*COS(RADIANS($D89))+IF(($A89+$C89/2)&lt;=$B$12,$B$18,$B$19)*SQRT(($H90*$F89*SIN(RADIANS($D89)))^2+($H90*$E89+$G89*$C89*SIN(RADIANS($D89)))^2)))</f>
        <v/>
      </c>
      <c r="I89" s="96">
        <f>IF($A89="","",IF($C89="",-$B$20*1000,$I90+$G89*$C89*COS(RADIANS($D89))-IF(($A89+$C89/2)&lt;=$B$12,$B$18,$B$19)*SQRT(($I90*$F89*SIN(RADIANS($D89)))^2+($I90*$E89+$G89*$C89*SIN(RADIANS($D89)))^2)))</f>
        <v/>
      </c>
      <c r="J89" s="96">
        <f>IF($A89="","",IF($C89="",-$B$20*1000,$J90+$G89*$C89*COS(RADIANS($D89))))</f>
        <v/>
      </c>
      <c r="K89" s="96">
        <f>IF($A89="","",IF($C89="",$B$21,$K90+IF(($A89+$C89/2)&lt;=$B$12,$B$18,$B$19)*SQRT(($J90*$F89*SIN(RADIANS($D89)))^2+($J90*$E89+$G89*$C89*SIN(RADIANS($D89)))^2)*$B$22/24))</f>
        <v/>
      </c>
      <c r="L89" s="96">
        <f>IF($C89="","",2*SQRT($B$26*$B$28*($G89/12)*SIN(RADIANS(MAX($D89,3)))/(IF($A89&lt;=$B$12,$B$14,$B$13)-$B$24)/2))</f>
        <v/>
      </c>
      <c r="M89" s="9">
        <f>IF($C89="","",IF($I89&lt;-1.41*$L89,"HELICAL BUCKLING - CHECK",IF($I89&lt;-$L89,"SINUSOIDAL - MARGINAL","")))</f>
        <v/>
      </c>
      <c r="N89" s="98">
        <f>IF($A89="",NA(),$A89)</f>
        <v/>
      </c>
      <c r="O89" s="98">
        <f>IF($A89="",NA(),$H89/1000)</f>
        <v/>
      </c>
      <c r="P89" s="98">
        <f>IF($A89="",NA(),$I89/1000)</f>
        <v/>
      </c>
      <c r="Q89" s="98">
        <f>IF($A89="",NA(),$J89/1000)</f>
        <v/>
      </c>
      <c r="R89" s="98">
        <f>IF($A89="",NA(),$K89/1000)</f>
        <v/>
      </c>
    </row>
    <row r="90">
      <c r="A90" s="96">
        <f>IF('Directional Survey'!A64="","",'Directional Survey'!A64)</f>
        <v/>
      </c>
      <c r="B90" s="97">
        <f>IF($A90="","",'Directional Survey'!B64)</f>
        <v/>
      </c>
      <c r="C90" s="96">
        <f>IF(OR($A90="",'Directional Survey'!A65=""),"",'Directional Survey'!A65-$A90)</f>
        <v/>
      </c>
      <c r="D90" s="97">
        <f>IF($C90="","",($B90+'Directional Survey'!B65)/2)</f>
        <v/>
      </c>
      <c r="E90" s="97">
        <f>IF($C90="","",RADIANS('Directional Survey'!B65-$B90))</f>
        <v/>
      </c>
      <c r="F90" s="97">
        <f>IF($C90="","",RADIANS('Directional Survey'!C65-'Directional Survey'!C64))</f>
        <v/>
      </c>
      <c r="G90" s="97">
        <f>IF($C90="","",$B$27*IF(($A90+$A90+$C90)/2&gt;$B$11-$B$17,$B$16,$B$15))</f>
        <v/>
      </c>
      <c r="H90" s="96">
        <f>IF($A90="","",IF($C90="",0,$H91+$G90*$C90*COS(RADIANS($D90))+IF(($A90+$C90/2)&lt;=$B$12,$B$18,$B$19)*SQRT(($H91*$F90*SIN(RADIANS($D90)))^2+($H91*$E90+$G90*$C90*SIN(RADIANS($D90)))^2)))</f>
        <v/>
      </c>
      <c r="I90" s="96">
        <f>IF($A90="","",IF($C90="",-$B$20*1000,$I91+$G90*$C90*COS(RADIANS($D90))-IF(($A90+$C90/2)&lt;=$B$12,$B$18,$B$19)*SQRT(($I91*$F90*SIN(RADIANS($D90)))^2+($I91*$E90+$G90*$C90*SIN(RADIANS($D90)))^2)))</f>
        <v/>
      </c>
      <c r="J90" s="96">
        <f>IF($A90="","",IF($C90="",-$B$20*1000,$J91+$G90*$C90*COS(RADIANS($D90))))</f>
        <v/>
      </c>
      <c r="K90" s="96">
        <f>IF($A90="","",IF($C90="",$B$21,$K91+IF(($A90+$C90/2)&lt;=$B$12,$B$18,$B$19)*SQRT(($J91*$F90*SIN(RADIANS($D90)))^2+($J91*$E90+$G90*$C90*SIN(RADIANS($D90)))^2)*$B$22/24))</f>
        <v/>
      </c>
      <c r="L90" s="96">
        <f>IF($C90="","",2*SQRT($B$26*$B$28*($G90/12)*SIN(RADIANS(MAX($D90,3)))/(IF($A90&lt;=$B$12,$B$14,$B$13)-$B$24)/2))</f>
        <v/>
      </c>
      <c r="M90" s="9">
        <f>IF($C90="","",IF($I90&lt;-1.41*$L90,"HELICAL BUCKLING - CHECK",IF($I90&lt;-$L90,"SINUSOIDAL - MARGINAL","")))</f>
        <v/>
      </c>
      <c r="N90" s="98">
        <f>IF($A90="",NA(),$A90)</f>
        <v/>
      </c>
      <c r="O90" s="98">
        <f>IF($A90="",NA(),$H90/1000)</f>
        <v/>
      </c>
      <c r="P90" s="98">
        <f>IF($A90="",NA(),$I90/1000)</f>
        <v/>
      </c>
      <c r="Q90" s="98">
        <f>IF($A90="",NA(),$J90/1000)</f>
        <v/>
      </c>
      <c r="R90" s="98">
        <f>IF($A90="",NA(),$K90/1000)</f>
        <v/>
      </c>
    </row>
    <row r="91">
      <c r="A91" s="96">
        <f>IF('Directional Survey'!A65="","",'Directional Survey'!A65)</f>
        <v/>
      </c>
      <c r="B91" s="97">
        <f>IF($A91="","",'Directional Survey'!B65)</f>
        <v/>
      </c>
      <c r="C91" s="96">
        <f>IF(OR($A91="",'Directional Survey'!A66=""),"",'Directional Survey'!A66-$A91)</f>
        <v/>
      </c>
      <c r="D91" s="97">
        <f>IF($C91="","",($B91+'Directional Survey'!B66)/2)</f>
        <v/>
      </c>
      <c r="E91" s="97">
        <f>IF($C91="","",RADIANS('Directional Survey'!B66-$B91))</f>
        <v/>
      </c>
      <c r="F91" s="97">
        <f>IF($C91="","",RADIANS('Directional Survey'!C66-'Directional Survey'!C65))</f>
        <v/>
      </c>
      <c r="G91" s="97">
        <f>IF($C91="","",$B$27*IF(($A91+$A91+$C91)/2&gt;$B$11-$B$17,$B$16,$B$15))</f>
        <v/>
      </c>
      <c r="H91" s="96">
        <f>IF($A91="","",IF($C91="",0,$H92+$G91*$C91*COS(RADIANS($D91))+IF(($A91+$C91/2)&lt;=$B$12,$B$18,$B$19)*SQRT(($H92*$F91*SIN(RADIANS($D91)))^2+($H92*$E91+$G91*$C91*SIN(RADIANS($D91)))^2)))</f>
        <v/>
      </c>
      <c r="I91" s="96">
        <f>IF($A91="","",IF($C91="",-$B$20*1000,$I92+$G91*$C91*COS(RADIANS($D91))-IF(($A91+$C91/2)&lt;=$B$12,$B$18,$B$19)*SQRT(($I92*$F91*SIN(RADIANS($D91)))^2+($I92*$E91+$G91*$C91*SIN(RADIANS($D91)))^2)))</f>
        <v/>
      </c>
      <c r="J91" s="96">
        <f>IF($A91="","",IF($C91="",-$B$20*1000,$J92+$G91*$C91*COS(RADIANS($D91))))</f>
        <v/>
      </c>
      <c r="K91" s="96">
        <f>IF($A91="","",IF($C91="",$B$21,$K92+IF(($A91+$C91/2)&lt;=$B$12,$B$18,$B$19)*SQRT(($J92*$F91*SIN(RADIANS($D91)))^2+($J92*$E91+$G91*$C91*SIN(RADIANS($D91)))^2)*$B$22/24))</f>
        <v/>
      </c>
      <c r="L91" s="96">
        <f>IF($C91="","",2*SQRT($B$26*$B$28*($G91/12)*SIN(RADIANS(MAX($D91,3)))/(IF($A91&lt;=$B$12,$B$14,$B$13)-$B$24)/2))</f>
        <v/>
      </c>
      <c r="M91" s="9">
        <f>IF($C91="","",IF($I91&lt;-1.41*$L91,"HELICAL BUCKLING - CHECK",IF($I91&lt;-$L91,"SINUSOIDAL - MARGINAL","")))</f>
        <v/>
      </c>
      <c r="N91" s="98">
        <f>IF($A91="",NA(),$A91)</f>
        <v/>
      </c>
      <c r="O91" s="98">
        <f>IF($A91="",NA(),$H91/1000)</f>
        <v/>
      </c>
      <c r="P91" s="98">
        <f>IF($A91="",NA(),$I91/1000)</f>
        <v/>
      </c>
      <c r="Q91" s="98">
        <f>IF($A91="",NA(),$J91/1000)</f>
        <v/>
      </c>
      <c r="R91" s="98">
        <f>IF($A91="",NA(),$K91/1000)</f>
        <v/>
      </c>
    </row>
    <row r="92">
      <c r="A92" s="96">
        <f>IF('Directional Survey'!A66="","",'Directional Survey'!A66)</f>
        <v/>
      </c>
      <c r="B92" s="97">
        <f>IF($A92="","",'Directional Survey'!B66)</f>
        <v/>
      </c>
      <c r="C92" s="96">
        <f>IF(OR($A92="",'Directional Survey'!A67=""),"",'Directional Survey'!A67-$A92)</f>
        <v/>
      </c>
      <c r="D92" s="97">
        <f>IF($C92="","",($B92+'Directional Survey'!B67)/2)</f>
        <v/>
      </c>
      <c r="E92" s="97">
        <f>IF($C92="","",RADIANS('Directional Survey'!B67-$B92))</f>
        <v/>
      </c>
      <c r="F92" s="97">
        <f>IF($C92="","",RADIANS('Directional Survey'!C67-'Directional Survey'!C66))</f>
        <v/>
      </c>
      <c r="G92" s="97">
        <f>IF($C92="","",$B$27*IF(($A92+$A92+$C92)/2&gt;$B$11-$B$17,$B$16,$B$15))</f>
        <v/>
      </c>
      <c r="H92" s="96">
        <f>IF($A92="","",IF($C92="",0,$H93+$G92*$C92*COS(RADIANS($D92))+IF(($A92+$C92/2)&lt;=$B$12,$B$18,$B$19)*SQRT(($H93*$F92*SIN(RADIANS($D92)))^2+($H93*$E92+$G92*$C92*SIN(RADIANS($D92)))^2)))</f>
        <v/>
      </c>
      <c r="I92" s="96">
        <f>IF($A92="","",IF($C92="",-$B$20*1000,$I93+$G92*$C92*COS(RADIANS($D92))-IF(($A92+$C92/2)&lt;=$B$12,$B$18,$B$19)*SQRT(($I93*$F92*SIN(RADIANS($D92)))^2+($I93*$E92+$G92*$C92*SIN(RADIANS($D92)))^2)))</f>
        <v/>
      </c>
      <c r="J92" s="96">
        <f>IF($A92="","",IF($C92="",-$B$20*1000,$J93+$G92*$C92*COS(RADIANS($D92))))</f>
        <v/>
      </c>
      <c r="K92" s="96">
        <f>IF($A92="","",IF($C92="",$B$21,$K93+IF(($A92+$C92/2)&lt;=$B$12,$B$18,$B$19)*SQRT(($J93*$F92*SIN(RADIANS($D92)))^2+($J93*$E92+$G92*$C92*SIN(RADIANS($D92)))^2)*$B$22/24))</f>
        <v/>
      </c>
      <c r="L92" s="96">
        <f>IF($C92="","",2*SQRT($B$26*$B$28*($G92/12)*SIN(RADIANS(MAX($D92,3)))/(IF($A92&lt;=$B$12,$B$14,$B$13)-$B$24)/2))</f>
        <v/>
      </c>
      <c r="M92" s="9">
        <f>IF($C92="","",IF($I92&lt;-1.41*$L92,"HELICAL BUCKLING - CHECK",IF($I92&lt;-$L92,"SINUSOIDAL - MARGINAL","")))</f>
        <v/>
      </c>
      <c r="N92" s="98">
        <f>IF($A92="",NA(),$A92)</f>
        <v/>
      </c>
      <c r="O92" s="98">
        <f>IF($A92="",NA(),$H92/1000)</f>
        <v/>
      </c>
      <c r="P92" s="98">
        <f>IF($A92="",NA(),$I92/1000)</f>
        <v/>
      </c>
      <c r="Q92" s="98">
        <f>IF($A92="",NA(),$J92/1000)</f>
        <v/>
      </c>
      <c r="R92" s="98">
        <f>IF($A92="",NA(),$K92/1000)</f>
        <v/>
      </c>
    </row>
    <row r="93">
      <c r="A93" s="96">
        <f>IF('Directional Survey'!A67="","",'Directional Survey'!A67)</f>
        <v/>
      </c>
      <c r="B93" s="97">
        <f>IF($A93="","",'Directional Survey'!B67)</f>
        <v/>
      </c>
      <c r="C93" s="96">
        <f>IF(OR($A93="",'Directional Survey'!A68=""),"",'Directional Survey'!A68-$A93)</f>
        <v/>
      </c>
      <c r="D93" s="97">
        <f>IF($C93="","",($B93+'Directional Survey'!B68)/2)</f>
        <v/>
      </c>
      <c r="E93" s="97">
        <f>IF($C93="","",RADIANS('Directional Survey'!B68-$B93))</f>
        <v/>
      </c>
      <c r="F93" s="97">
        <f>IF($C93="","",RADIANS('Directional Survey'!C68-'Directional Survey'!C67))</f>
        <v/>
      </c>
      <c r="G93" s="97">
        <f>IF($C93="","",$B$27*IF(($A93+$A93+$C93)/2&gt;$B$11-$B$17,$B$16,$B$15))</f>
        <v/>
      </c>
      <c r="H93" s="96">
        <f>IF($A93="","",IF($C93="",0,$H94+$G93*$C93*COS(RADIANS($D93))+IF(($A93+$C93/2)&lt;=$B$12,$B$18,$B$19)*SQRT(($H94*$F93*SIN(RADIANS($D93)))^2+($H94*$E93+$G93*$C93*SIN(RADIANS($D93)))^2)))</f>
        <v/>
      </c>
      <c r="I93" s="96">
        <f>IF($A93="","",IF($C93="",-$B$20*1000,$I94+$G93*$C93*COS(RADIANS($D93))-IF(($A93+$C93/2)&lt;=$B$12,$B$18,$B$19)*SQRT(($I94*$F93*SIN(RADIANS($D93)))^2+($I94*$E93+$G93*$C93*SIN(RADIANS($D93)))^2)))</f>
        <v/>
      </c>
      <c r="J93" s="96">
        <f>IF($A93="","",IF($C93="",-$B$20*1000,$J94+$G93*$C93*COS(RADIANS($D93))))</f>
        <v/>
      </c>
      <c r="K93" s="96">
        <f>IF($A93="","",IF($C93="",$B$21,$K94+IF(($A93+$C93/2)&lt;=$B$12,$B$18,$B$19)*SQRT(($J94*$F93*SIN(RADIANS($D93)))^2+($J94*$E93+$G93*$C93*SIN(RADIANS($D93)))^2)*$B$22/24))</f>
        <v/>
      </c>
      <c r="L93" s="96">
        <f>IF($C93="","",2*SQRT($B$26*$B$28*($G93/12)*SIN(RADIANS(MAX($D93,3)))/(IF($A93&lt;=$B$12,$B$14,$B$13)-$B$24)/2))</f>
        <v/>
      </c>
      <c r="M93" s="9">
        <f>IF($C93="","",IF($I93&lt;-1.41*$L93,"HELICAL BUCKLING - CHECK",IF($I93&lt;-$L93,"SINUSOIDAL - MARGINAL","")))</f>
        <v/>
      </c>
      <c r="N93" s="98">
        <f>IF($A93="",NA(),$A93)</f>
        <v/>
      </c>
      <c r="O93" s="98">
        <f>IF($A93="",NA(),$H93/1000)</f>
        <v/>
      </c>
      <c r="P93" s="98">
        <f>IF($A93="",NA(),$I93/1000)</f>
        <v/>
      </c>
      <c r="Q93" s="98">
        <f>IF($A93="",NA(),$J93/1000)</f>
        <v/>
      </c>
      <c r="R93" s="98">
        <f>IF($A93="",NA(),$K93/1000)</f>
        <v/>
      </c>
    </row>
    <row r="94">
      <c r="A94" s="96">
        <f>IF('Directional Survey'!A68="","",'Directional Survey'!A68)</f>
        <v/>
      </c>
      <c r="B94" s="97">
        <f>IF($A94="","",'Directional Survey'!B68)</f>
        <v/>
      </c>
      <c r="C94" s="96">
        <f>IF(OR($A94="",'Directional Survey'!A69=""),"",'Directional Survey'!A69-$A94)</f>
        <v/>
      </c>
      <c r="D94" s="97">
        <f>IF($C94="","",($B94+'Directional Survey'!B69)/2)</f>
        <v/>
      </c>
      <c r="E94" s="97">
        <f>IF($C94="","",RADIANS('Directional Survey'!B69-$B94))</f>
        <v/>
      </c>
      <c r="F94" s="97">
        <f>IF($C94="","",RADIANS('Directional Survey'!C69-'Directional Survey'!C68))</f>
        <v/>
      </c>
      <c r="G94" s="97">
        <f>IF($C94="","",$B$27*IF(($A94+$A94+$C94)/2&gt;$B$11-$B$17,$B$16,$B$15))</f>
        <v/>
      </c>
      <c r="H94" s="96">
        <f>IF($A94="","",IF($C94="",0,$H95+$G94*$C94*COS(RADIANS($D94))+IF(($A94+$C94/2)&lt;=$B$12,$B$18,$B$19)*SQRT(($H95*$F94*SIN(RADIANS($D94)))^2+($H95*$E94+$G94*$C94*SIN(RADIANS($D94)))^2)))</f>
        <v/>
      </c>
      <c r="I94" s="96">
        <f>IF($A94="","",IF($C94="",-$B$20*1000,$I95+$G94*$C94*COS(RADIANS($D94))-IF(($A94+$C94/2)&lt;=$B$12,$B$18,$B$19)*SQRT(($I95*$F94*SIN(RADIANS($D94)))^2+($I95*$E94+$G94*$C94*SIN(RADIANS($D94)))^2)))</f>
        <v/>
      </c>
      <c r="J94" s="96">
        <f>IF($A94="","",IF($C94="",-$B$20*1000,$J95+$G94*$C94*COS(RADIANS($D94))))</f>
        <v/>
      </c>
      <c r="K94" s="96">
        <f>IF($A94="","",IF($C94="",$B$21,$K95+IF(($A94+$C94/2)&lt;=$B$12,$B$18,$B$19)*SQRT(($J95*$F94*SIN(RADIANS($D94)))^2+($J95*$E94+$G94*$C94*SIN(RADIANS($D94)))^2)*$B$22/24))</f>
        <v/>
      </c>
      <c r="L94" s="96">
        <f>IF($C94="","",2*SQRT($B$26*$B$28*($G94/12)*SIN(RADIANS(MAX($D94,3)))/(IF($A94&lt;=$B$12,$B$14,$B$13)-$B$24)/2))</f>
        <v/>
      </c>
      <c r="M94" s="9">
        <f>IF($C94="","",IF($I94&lt;-1.41*$L94,"HELICAL BUCKLING - CHECK",IF($I94&lt;-$L94,"SINUSOIDAL - MARGINAL","")))</f>
        <v/>
      </c>
      <c r="N94" s="98">
        <f>IF($A94="",NA(),$A94)</f>
        <v/>
      </c>
      <c r="O94" s="98">
        <f>IF($A94="",NA(),$H94/1000)</f>
        <v/>
      </c>
      <c r="P94" s="98">
        <f>IF($A94="",NA(),$I94/1000)</f>
        <v/>
      </c>
      <c r="Q94" s="98">
        <f>IF($A94="",NA(),$J94/1000)</f>
        <v/>
      </c>
      <c r="R94" s="98">
        <f>IF($A94="",NA(),$K94/1000)</f>
        <v/>
      </c>
    </row>
    <row r="95">
      <c r="A95" s="96">
        <f>IF('Directional Survey'!A69="","",'Directional Survey'!A69)</f>
        <v/>
      </c>
      <c r="B95" s="97">
        <f>IF($A95="","",'Directional Survey'!B69)</f>
        <v/>
      </c>
      <c r="C95" s="96">
        <f>IF(OR($A95="",'Directional Survey'!A70=""),"",'Directional Survey'!A70-$A95)</f>
        <v/>
      </c>
      <c r="D95" s="97">
        <f>IF($C95="","",($B95+'Directional Survey'!B70)/2)</f>
        <v/>
      </c>
      <c r="E95" s="97">
        <f>IF($C95="","",RADIANS('Directional Survey'!B70-$B95))</f>
        <v/>
      </c>
      <c r="F95" s="97">
        <f>IF($C95="","",RADIANS('Directional Survey'!C70-'Directional Survey'!C69))</f>
        <v/>
      </c>
      <c r="G95" s="97">
        <f>IF($C95="","",$B$27*IF(($A95+$A95+$C95)/2&gt;$B$11-$B$17,$B$16,$B$15))</f>
        <v/>
      </c>
      <c r="H95" s="96">
        <f>IF($A95="","",IF($C95="",0,$H96+$G95*$C95*COS(RADIANS($D95))+IF(($A95+$C95/2)&lt;=$B$12,$B$18,$B$19)*SQRT(($H96*$F95*SIN(RADIANS($D95)))^2+($H96*$E95+$G95*$C95*SIN(RADIANS($D95)))^2)))</f>
        <v/>
      </c>
      <c r="I95" s="96">
        <f>IF($A95="","",IF($C95="",-$B$20*1000,$I96+$G95*$C95*COS(RADIANS($D95))-IF(($A95+$C95/2)&lt;=$B$12,$B$18,$B$19)*SQRT(($I96*$F95*SIN(RADIANS($D95)))^2+($I96*$E95+$G95*$C95*SIN(RADIANS($D95)))^2)))</f>
        <v/>
      </c>
      <c r="J95" s="96">
        <f>IF($A95="","",IF($C95="",-$B$20*1000,$J96+$G95*$C95*COS(RADIANS($D95))))</f>
        <v/>
      </c>
      <c r="K95" s="96">
        <f>IF($A95="","",IF($C95="",$B$21,$K96+IF(($A95+$C95/2)&lt;=$B$12,$B$18,$B$19)*SQRT(($J96*$F95*SIN(RADIANS($D95)))^2+($J96*$E95+$G95*$C95*SIN(RADIANS($D95)))^2)*$B$22/24))</f>
        <v/>
      </c>
      <c r="L95" s="96">
        <f>IF($C95="","",2*SQRT($B$26*$B$28*($G95/12)*SIN(RADIANS(MAX($D95,3)))/(IF($A95&lt;=$B$12,$B$14,$B$13)-$B$24)/2))</f>
        <v/>
      </c>
      <c r="M95" s="9">
        <f>IF($C95="","",IF($I95&lt;-1.41*$L95,"HELICAL BUCKLING - CHECK",IF($I95&lt;-$L95,"SINUSOIDAL - MARGINAL","")))</f>
        <v/>
      </c>
      <c r="N95" s="98">
        <f>IF($A95="",NA(),$A95)</f>
        <v/>
      </c>
      <c r="O95" s="98">
        <f>IF($A95="",NA(),$H95/1000)</f>
        <v/>
      </c>
      <c r="P95" s="98">
        <f>IF($A95="",NA(),$I95/1000)</f>
        <v/>
      </c>
      <c r="Q95" s="98">
        <f>IF($A95="",NA(),$J95/1000)</f>
        <v/>
      </c>
      <c r="R95" s="98">
        <f>IF($A95="",NA(),$K95/1000)</f>
        <v/>
      </c>
    </row>
    <row r="96">
      <c r="A96" s="96">
        <f>IF('Directional Survey'!A70="","",'Directional Survey'!A70)</f>
        <v/>
      </c>
      <c r="B96" s="97">
        <f>IF($A96="","",'Directional Survey'!B70)</f>
        <v/>
      </c>
      <c r="C96" s="96">
        <f>IF(OR($A96="",'Directional Survey'!A71=""),"",'Directional Survey'!A71-$A96)</f>
        <v/>
      </c>
      <c r="D96" s="97">
        <f>IF($C96="","",($B96+'Directional Survey'!B71)/2)</f>
        <v/>
      </c>
      <c r="E96" s="97">
        <f>IF($C96="","",RADIANS('Directional Survey'!B71-$B96))</f>
        <v/>
      </c>
      <c r="F96" s="97">
        <f>IF($C96="","",RADIANS('Directional Survey'!C71-'Directional Survey'!C70))</f>
        <v/>
      </c>
      <c r="G96" s="97">
        <f>IF($C96="","",$B$27*IF(($A96+$A96+$C96)/2&gt;$B$11-$B$17,$B$16,$B$15))</f>
        <v/>
      </c>
      <c r="H96" s="96">
        <f>IF($A96="","",IF($C96="",0,$H97+$G96*$C96*COS(RADIANS($D96))+IF(($A96+$C96/2)&lt;=$B$12,$B$18,$B$19)*SQRT(($H97*$F96*SIN(RADIANS($D96)))^2+($H97*$E96+$G96*$C96*SIN(RADIANS($D96)))^2)))</f>
        <v/>
      </c>
      <c r="I96" s="96">
        <f>IF($A96="","",IF($C96="",-$B$20*1000,$I97+$G96*$C96*COS(RADIANS($D96))-IF(($A96+$C96/2)&lt;=$B$12,$B$18,$B$19)*SQRT(($I97*$F96*SIN(RADIANS($D96)))^2+($I97*$E96+$G96*$C96*SIN(RADIANS($D96)))^2)))</f>
        <v/>
      </c>
      <c r="J96" s="96">
        <f>IF($A96="","",IF($C96="",-$B$20*1000,$J97+$G96*$C96*COS(RADIANS($D96))))</f>
        <v/>
      </c>
      <c r="K96" s="96">
        <f>IF($A96="","",IF($C96="",$B$21,$K97+IF(($A96+$C96/2)&lt;=$B$12,$B$18,$B$19)*SQRT(($J97*$F96*SIN(RADIANS($D96)))^2+($J97*$E96+$G96*$C96*SIN(RADIANS($D96)))^2)*$B$22/24))</f>
        <v/>
      </c>
      <c r="L96" s="96">
        <f>IF($C96="","",2*SQRT($B$26*$B$28*($G96/12)*SIN(RADIANS(MAX($D96,3)))/(IF($A96&lt;=$B$12,$B$14,$B$13)-$B$24)/2))</f>
        <v/>
      </c>
      <c r="M96" s="9">
        <f>IF($C96="","",IF($I96&lt;-1.41*$L96,"HELICAL BUCKLING - CHECK",IF($I96&lt;-$L96,"SINUSOIDAL - MARGINAL","")))</f>
        <v/>
      </c>
      <c r="N96" s="98">
        <f>IF($A96="",NA(),$A96)</f>
        <v/>
      </c>
      <c r="O96" s="98">
        <f>IF($A96="",NA(),$H96/1000)</f>
        <v/>
      </c>
      <c r="P96" s="98">
        <f>IF($A96="",NA(),$I96/1000)</f>
        <v/>
      </c>
      <c r="Q96" s="98">
        <f>IF($A96="",NA(),$J96/1000)</f>
        <v/>
      </c>
      <c r="R96" s="98">
        <f>IF($A96="",NA(),$K96/1000)</f>
        <v/>
      </c>
    </row>
    <row r="97">
      <c r="A97" s="96">
        <f>IF('Directional Survey'!A71="","",'Directional Survey'!A71)</f>
        <v/>
      </c>
      <c r="B97" s="97">
        <f>IF($A97="","",'Directional Survey'!B71)</f>
        <v/>
      </c>
      <c r="C97" s="96">
        <f>IF(OR($A97="",'Directional Survey'!A72=""),"",'Directional Survey'!A72-$A97)</f>
        <v/>
      </c>
      <c r="D97" s="97">
        <f>IF($C97="","",($B97+'Directional Survey'!B72)/2)</f>
        <v/>
      </c>
      <c r="E97" s="97">
        <f>IF($C97="","",RADIANS('Directional Survey'!B72-$B97))</f>
        <v/>
      </c>
      <c r="F97" s="97">
        <f>IF($C97="","",RADIANS('Directional Survey'!C72-'Directional Survey'!C71))</f>
        <v/>
      </c>
      <c r="G97" s="97">
        <f>IF($C97="","",$B$27*IF(($A97+$A97+$C97)/2&gt;$B$11-$B$17,$B$16,$B$15))</f>
        <v/>
      </c>
      <c r="H97" s="96">
        <f>IF($A97="","",IF($C97="",0,$H98+$G97*$C97*COS(RADIANS($D97))+IF(($A97+$C97/2)&lt;=$B$12,$B$18,$B$19)*SQRT(($H98*$F97*SIN(RADIANS($D97)))^2+($H98*$E97+$G97*$C97*SIN(RADIANS($D97)))^2)))</f>
        <v/>
      </c>
      <c r="I97" s="96">
        <f>IF($A97="","",IF($C97="",-$B$20*1000,$I98+$G97*$C97*COS(RADIANS($D97))-IF(($A97+$C97/2)&lt;=$B$12,$B$18,$B$19)*SQRT(($I98*$F97*SIN(RADIANS($D97)))^2+($I98*$E97+$G97*$C97*SIN(RADIANS($D97)))^2)))</f>
        <v/>
      </c>
      <c r="J97" s="96">
        <f>IF($A97="","",IF($C97="",-$B$20*1000,$J98+$G97*$C97*COS(RADIANS($D97))))</f>
        <v/>
      </c>
      <c r="K97" s="96">
        <f>IF($A97="","",IF($C97="",$B$21,$K98+IF(($A97+$C97/2)&lt;=$B$12,$B$18,$B$19)*SQRT(($J98*$F97*SIN(RADIANS($D97)))^2+($J98*$E97+$G97*$C97*SIN(RADIANS($D97)))^2)*$B$22/24))</f>
        <v/>
      </c>
      <c r="L97" s="96">
        <f>IF($C97="","",2*SQRT($B$26*$B$28*($G97/12)*SIN(RADIANS(MAX($D97,3)))/(IF($A97&lt;=$B$12,$B$14,$B$13)-$B$24)/2))</f>
        <v/>
      </c>
      <c r="M97" s="9">
        <f>IF($C97="","",IF($I97&lt;-1.41*$L97,"HELICAL BUCKLING - CHECK",IF($I97&lt;-$L97,"SINUSOIDAL - MARGINAL","")))</f>
        <v/>
      </c>
      <c r="N97" s="98">
        <f>IF($A97="",NA(),$A97)</f>
        <v/>
      </c>
      <c r="O97" s="98">
        <f>IF($A97="",NA(),$H97/1000)</f>
        <v/>
      </c>
      <c r="P97" s="98">
        <f>IF($A97="",NA(),$I97/1000)</f>
        <v/>
      </c>
      <c r="Q97" s="98">
        <f>IF($A97="",NA(),$J97/1000)</f>
        <v/>
      </c>
      <c r="R97" s="98">
        <f>IF($A97="",NA(),$K97/1000)</f>
        <v/>
      </c>
    </row>
    <row r="98">
      <c r="A98" s="96">
        <f>IF('Directional Survey'!A72="","",'Directional Survey'!A72)</f>
        <v/>
      </c>
      <c r="B98" s="97">
        <f>IF($A98="","",'Directional Survey'!B72)</f>
        <v/>
      </c>
      <c r="C98" s="96">
        <f>IF(OR($A98="",'Directional Survey'!A73=""),"",'Directional Survey'!A73-$A98)</f>
        <v/>
      </c>
      <c r="D98" s="97">
        <f>IF($C98="","",($B98+'Directional Survey'!B73)/2)</f>
        <v/>
      </c>
      <c r="E98" s="97">
        <f>IF($C98="","",RADIANS('Directional Survey'!B73-$B98))</f>
        <v/>
      </c>
      <c r="F98" s="97">
        <f>IF($C98="","",RADIANS('Directional Survey'!C73-'Directional Survey'!C72))</f>
        <v/>
      </c>
      <c r="G98" s="97">
        <f>IF($C98="","",$B$27*IF(($A98+$A98+$C98)/2&gt;$B$11-$B$17,$B$16,$B$15))</f>
        <v/>
      </c>
      <c r="H98" s="96">
        <f>IF($A98="","",IF($C98="",0,$H99+$G98*$C98*COS(RADIANS($D98))+IF(($A98+$C98/2)&lt;=$B$12,$B$18,$B$19)*SQRT(($H99*$F98*SIN(RADIANS($D98)))^2+($H99*$E98+$G98*$C98*SIN(RADIANS($D98)))^2)))</f>
        <v/>
      </c>
      <c r="I98" s="96">
        <f>IF($A98="","",IF($C98="",-$B$20*1000,$I99+$G98*$C98*COS(RADIANS($D98))-IF(($A98+$C98/2)&lt;=$B$12,$B$18,$B$19)*SQRT(($I99*$F98*SIN(RADIANS($D98)))^2+($I99*$E98+$G98*$C98*SIN(RADIANS($D98)))^2)))</f>
        <v/>
      </c>
      <c r="J98" s="96">
        <f>IF($A98="","",IF($C98="",-$B$20*1000,$J99+$G98*$C98*COS(RADIANS($D98))))</f>
        <v/>
      </c>
      <c r="K98" s="96">
        <f>IF($A98="","",IF($C98="",$B$21,$K99+IF(($A98+$C98/2)&lt;=$B$12,$B$18,$B$19)*SQRT(($J99*$F98*SIN(RADIANS($D98)))^2+($J99*$E98+$G98*$C98*SIN(RADIANS($D98)))^2)*$B$22/24))</f>
        <v/>
      </c>
      <c r="L98" s="96">
        <f>IF($C98="","",2*SQRT($B$26*$B$28*($G98/12)*SIN(RADIANS(MAX($D98,3)))/(IF($A98&lt;=$B$12,$B$14,$B$13)-$B$24)/2))</f>
        <v/>
      </c>
      <c r="M98" s="9">
        <f>IF($C98="","",IF($I98&lt;-1.41*$L98,"HELICAL BUCKLING - CHECK",IF($I98&lt;-$L98,"SINUSOIDAL - MARGINAL","")))</f>
        <v/>
      </c>
      <c r="N98" s="98">
        <f>IF($A98="",NA(),$A98)</f>
        <v/>
      </c>
      <c r="O98" s="98">
        <f>IF($A98="",NA(),$H98/1000)</f>
        <v/>
      </c>
      <c r="P98" s="98">
        <f>IF($A98="",NA(),$I98/1000)</f>
        <v/>
      </c>
      <c r="Q98" s="98">
        <f>IF($A98="",NA(),$J98/1000)</f>
        <v/>
      </c>
      <c r="R98" s="98">
        <f>IF($A98="",NA(),$K98/1000)</f>
        <v/>
      </c>
    </row>
    <row r="99">
      <c r="A99" s="96">
        <f>IF('Directional Survey'!A73="","",'Directional Survey'!A73)</f>
        <v/>
      </c>
      <c r="B99" s="97">
        <f>IF($A99="","",'Directional Survey'!B73)</f>
        <v/>
      </c>
      <c r="C99" s="96">
        <f>IF(OR($A99="",'Directional Survey'!A74=""),"",'Directional Survey'!A74-$A99)</f>
        <v/>
      </c>
      <c r="D99" s="97">
        <f>IF($C99="","",($B99+'Directional Survey'!B74)/2)</f>
        <v/>
      </c>
      <c r="E99" s="97">
        <f>IF($C99="","",RADIANS('Directional Survey'!B74-$B99))</f>
        <v/>
      </c>
      <c r="F99" s="97">
        <f>IF($C99="","",RADIANS('Directional Survey'!C74-'Directional Survey'!C73))</f>
        <v/>
      </c>
      <c r="G99" s="97">
        <f>IF($C99="","",$B$27*IF(($A99+$A99+$C99)/2&gt;$B$11-$B$17,$B$16,$B$15))</f>
        <v/>
      </c>
      <c r="H99" s="96">
        <f>IF($A99="","",IF($C99="",0,$H100+$G99*$C99*COS(RADIANS($D99))+IF(($A99+$C99/2)&lt;=$B$12,$B$18,$B$19)*SQRT(($H100*$F99*SIN(RADIANS($D99)))^2+($H100*$E99+$G99*$C99*SIN(RADIANS($D99)))^2)))</f>
        <v/>
      </c>
      <c r="I99" s="96">
        <f>IF($A99="","",IF($C99="",-$B$20*1000,$I100+$G99*$C99*COS(RADIANS($D99))-IF(($A99+$C99/2)&lt;=$B$12,$B$18,$B$19)*SQRT(($I100*$F99*SIN(RADIANS($D99)))^2+($I100*$E99+$G99*$C99*SIN(RADIANS($D99)))^2)))</f>
        <v/>
      </c>
      <c r="J99" s="96">
        <f>IF($A99="","",IF($C99="",-$B$20*1000,$J100+$G99*$C99*COS(RADIANS($D99))))</f>
        <v/>
      </c>
      <c r="K99" s="96">
        <f>IF($A99="","",IF($C99="",$B$21,$K100+IF(($A99+$C99/2)&lt;=$B$12,$B$18,$B$19)*SQRT(($J100*$F99*SIN(RADIANS($D99)))^2+($J100*$E99+$G99*$C99*SIN(RADIANS($D99)))^2)*$B$22/24))</f>
        <v/>
      </c>
      <c r="L99" s="96">
        <f>IF($C99="","",2*SQRT($B$26*$B$28*($G99/12)*SIN(RADIANS(MAX($D99,3)))/(IF($A99&lt;=$B$12,$B$14,$B$13)-$B$24)/2))</f>
        <v/>
      </c>
      <c r="M99" s="9">
        <f>IF($C99="","",IF($I99&lt;-1.41*$L99,"HELICAL BUCKLING - CHECK",IF($I99&lt;-$L99,"SINUSOIDAL - MARGINAL","")))</f>
        <v/>
      </c>
      <c r="N99" s="98">
        <f>IF($A99="",NA(),$A99)</f>
        <v/>
      </c>
      <c r="O99" s="98">
        <f>IF($A99="",NA(),$H99/1000)</f>
        <v/>
      </c>
      <c r="P99" s="98">
        <f>IF($A99="",NA(),$I99/1000)</f>
        <v/>
      </c>
      <c r="Q99" s="98">
        <f>IF($A99="",NA(),$J99/1000)</f>
        <v/>
      </c>
      <c r="R99" s="98">
        <f>IF($A99="",NA(),$K99/1000)</f>
        <v/>
      </c>
    </row>
    <row r="100">
      <c r="A100" s="96">
        <f>IF('Directional Survey'!A74="","",'Directional Survey'!A74)</f>
        <v/>
      </c>
      <c r="B100" s="97">
        <f>IF($A100="","",'Directional Survey'!B74)</f>
        <v/>
      </c>
      <c r="C100" s="96">
        <f>IF(OR($A100="",'Directional Survey'!A75=""),"",'Directional Survey'!A75-$A100)</f>
        <v/>
      </c>
      <c r="D100" s="97">
        <f>IF($C100="","",($B100+'Directional Survey'!B75)/2)</f>
        <v/>
      </c>
      <c r="E100" s="97">
        <f>IF($C100="","",RADIANS('Directional Survey'!B75-$B100))</f>
        <v/>
      </c>
      <c r="F100" s="97">
        <f>IF($C100="","",RADIANS('Directional Survey'!C75-'Directional Survey'!C74))</f>
        <v/>
      </c>
      <c r="G100" s="97">
        <f>IF($C100="","",$B$27*IF(($A100+$A100+$C100)/2&gt;$B$11-$B$17,$B$16,$B$15))</f>
        <v/>
      </c>
      <c r="H100" s="96">
        <f>IF($A100="","",IF($C100="",0,$H101+$G100*$C100*COS(RADIANS($D100))+IF(($A100+$C100/2)&lt;=$B$12,$B$18,$B$19)*SQRT(($H101*$F100*SIN(RADIANS($D100)))^2+($H101*$E100+$G100*$C100*SIN(RADIANS($D100)))^2)))</f>
        <v/>
      </c>
      <c r="I100" s="96">
        <f>IF($A100="","",IF($C100="",-$B$20*1000,$I101+$G100*$C100*COS(RADIANS($D100))-IF(($A100+$C100/2)&lt;=$B$12,$B$18,$B$19)*SQRT(($I101*$F100*SIN(RADIANS($D100)))^2+($I101*$E100+$G100*$C100*SIN(RADIANS($D100)))^2)))</f>
        <v/>
      </c>
      <c r="J100" s="96">
        <f>IF($A100="","",IF($C100="",-$B$20*1000,$J101+$G100*$C100*COS(RADIANS($D100))))</f>
        <v/>
      </c>
      <c r="K100" s="96">
        <f>IF($A100="","",IF($C100="",$B$21,$K101+IF(($A100+$C100/2)&lt;=$B$12,$B$18,$B$19)*SQRT(($J101*$F100*SIN(RADIANS($D100)))^2+($J101*$E100+$G100*$C100*SIN(RADIANS($D100)))^2)*$B$22/24))</f>
        <v/>
      </c>
      <c r="L100" s="96">
        <f>IF($C100="","",2*SQRT($B$26*$B$28*($G100/12)*SIN(RADIANS(MAX($D100,3)))/(IF($A100&lt;=$B$12,$B$14,$B$13)-$B$24)/2))</f>
        <v/>
      </c>
      <c r="M100" s="9">
        <f>IF($C100="","",IF($I100&lt;-1.41*$L100,"HELICAL BUCKLING - CHECK",IF($I100&lt;-$L100,"SINUSOIDAL - MARGINAL","")))</f>
        <v/>
      </c>
      <c r="N100" s="98">
        <f>IF($A100="",NA(),$A100)</f>
        <v/>
      </c>
      <c r="O100" s="98">
        <f>IF($A100="",NA(),$H100/1000)</f>
        <v/>
      </c>
      <c r="P100" s="98">
        <f>IF($A100="",NA(),$I100/1000)</f>
        <v/>
      </c>
      <c r="Q100" s="98">
        <f>IF($A100="",NA(),$J100/1000)</f>
        <v/>
      </c>
      <c r="R100" s="98">
        <f>IF($A100="",NA(),$K100/1000)</f>
        <v/>
      </c>
    </row>
    <row r="101">
      <c r="A101" s="96">
        <f>IF('Directional Survey'!A75="","",'Directional Survey'!A75)</f>
        <v/>
      </c>
      <c r="B101" s="97">
        <f>IF($A101="","",'Directional Survey'!B75)</f>
        <v/>
      </c>
      <c r="C101" s="96">
        <f>IF(OR($A101="",'Directional Survey'!A76=""),"",'Directional Survey'!A76-$A101)</f>
        <v/>
      </c>
      <c r="D101" s="97">
        <f>IF($C101="","",($B101+'Directional Survey'!B76)/2)</f>
        <v/>
      </c>
      <c r="E101" s="97">
        <f>IF($C101="","",RADIANS('Directional Survey'!B76-$B101))</f>
        <v/>
      </c>
      <c r="F101" s="97">
        <f>IF($C101="","",RADIANS('Directional Survey'!C76-'Directional Survey'!C75))</f>
        <v/>
      </c>
      <c r="G101" s="97">
        <f>IF($C101="","",$B$27*IF(($A101+$A101+$C101)/2&gt;$B$11-$B$17,$B$16,$B$15))</f>
        <v/>
      </c>
      <c r="H101" s="96">
        <f>IF($A101="","",IF($C101="",0,$H102+$G101*$C101*COS(RADIANS($D101))+IF(($A101+$C101/2)&lt;=$B$12,$B$18,$B$19)*SQRT(($H102*$F101*SIN(RADIANS($D101)))^2+($H102*$E101+$G101*$C101*SIN(RADIANS($D101)))^2)))</f>
        <v/>
      </c>
      <c r="I101" s="96">
        <f>IF($A101="","",IF($C101="",-$B$20*1000,$I102+$G101*$C101*COS(RADIANS($D101))-IF(($A101+$C101/2)&lt;=$B$12,$B$18,$B$19)*SQRT(($I102*$F101*SIN(RADIANS($D101)))^2+($I102*$E101+$G101*$C101*SIN(RADIANS($D101)))^2)))</f>
        <v/>
      </c>
      <c r="J101" s="96">
        <f>IF($A101="","",IF($C101="",-$B$20*1000,$J102+$G101*$C101*COS(RADIANS($D101))))</f>
        <v/>
      </c>
      <c r="K101" s="96">
        <f>IF($A101="","",IF($C101="",$B$21,$K102+IF(($A101+$C101/2)&lt;=$B$12,$B$18,$B$19)*SQRT(($J102*$F101*SIN(RADIANS($D101)))^2+($J102*$E101+$G101*$C101*SIN(RADIANS($D101)))^2)*$B$22/24))</f>
        <v/>
      </c>
      <c r="L101" s="96">
        <f>IF($C101="","",2*SQRT($B$26*$B$28*($G101/12)*SIN(RADIANS(MAX($D101,3)))/(IF($A101&lt;=$B$12,$B$14,$B$13)-$B$24)/2))</f>
        <v/>
      </c>
      <c r="M101" s="9">
        <f>IF($C101="","",IF($I101&lt;-1.41*$L101,"HELICAL BUCKLING - CHECK",IF($I101&lt;-$L101,"SINUSOIDAL - MARGINAL","")))</f>
        <v/>
      </c>
      <c r="N101" s="98">
        <f>IF($A101="",NA(),$A101)</f>
        <v/>
      </c>
      <c r="O101" s="98">
        <f>IF($A101="",NA(),$H101/1000)</f>
        <v/>
      </c>
      <c r="P101" s="98">
        <f>IF($A101="",NA(),$I101/1000)</f>
        <v/>
      </c>
      <c r="Q101" s="98">
        <f>IF($A101="",NA(),$J101/1000)</f>
        <v/>
      </c>
      <c r="R101" s="98">
        <f>IF($A101="",NA(),$K101/1000)</f>
        <v/>
      </c>
    </row>
    <row r="102">
      <c r="A102" s="96">
        <f>IF('Directional Survey'!A76="","",'Directional Survey'!A76)</f>
        <v/>
      </c>
      <c r="B102" s="97">
        <f>IF($A102="","",'Directional Survey'!B76)</f>
        <v/>
      </c>
      <c r="C102" s="96">
        <f>IF(OR($A102="",'Directional Survey'!A77=""),"",'Directional Survey'!A77-$A102)</f>
        <v/>
      </c>
      <c r="D102" s="97">
        <f>IF($C102="","",($B102+'Directional Survey'!B77)/2)</f>
        <v/>
      </c>
      <c r="E102" s="97">
        <f>IF($C102="","",RADIANS('Directional Survey'!B77-$B102))</f>
        <v/>
      </c>
      <c r="F102" s="97">
        <f>IF($C102="","",RADIANS('Directional Survey'!C77-'Directional Survey'!C76))</f>
        <v/>
      </c>
      <c r="G102" s="97">
        <f>IF($C102="","",$B$27*IF(($A102+$A102+$C102)/2&gt;$B$11-$B$17,$B$16,$B$15))</f>
        <v/>
      </c>
      <c r="H102" s="96">
        <f>IF($A102="","",IF($C102="",0,$H103+$G102*$C102*COS(RADIANS($D102))+IF(($A102+$C102/2)&lt;=$B$12,$B$18,$B$19)*SQRT(($H103*$F102*SIN(RADIANS($D102)))^2+($H103*$E102+$G102*$C102*SIN(RADIANS($D102)))^2)))</f>
        <v/>
      </c>
      <c r="I102" s="96">
        <f>IF($A102="","",IF($C102="",-$B$20*1000,$I103+$G102*$C102*COS(RADIANS($D102))-IF(($A102+$C102/2)&lt;=$B$12,$B$18,$B$19)*SQRT(($I103*$F102*SIN(RADIANS($D102)))^2+($I103*$E102+$G102*$C102*SIN(RADIANS($D102)))^2)))</f>
        <v/>
      </c>
      <c r="J102" s="96">
        <f>IF($A102="","",IF($C102="",-$B$20*1000,$J103+$G102*$C102*COS(RADIANS($D102))))</f>
        <v/>
      </c>
      <c r="K102" s="96">
        <f>IF($A102="","",IF($C102="",$B$21,$K103+IF(($A102+$C102/2)&lt;=$B$12,$B$18,$B$19)*SQRT(($J103*$F102*SIN(RADIANS($D102)))^2+($J103*$E102+$G102*$C102*SIN(RADIANS($D102)))^2)*$B$22/24))</f>
        <v/>
      </c>
      <c r="L102" s="96">
        <f>IF($C102="","",2*SQRT($B$26*$B$28*($G102/12)*SIN(RADIANS(MAX($D102,3)))/(IF($A102&lt;=$B$12,$B$14,$B$13)-$B$24)/2))</f>
        <v/>
      </c>
      <c r="M102" s="9">
        <f>IF($C102="","",IF($I102&lt;-1.41*$L102,"HELICAL BUCKLING - CHECK",IF($I102&lt;-$L102,"SINUSOIDAL - MARGINAL","")))</f>
        <v/>
      </c>
      <c r="N102" s="98">
        <f>IF($A102="",NA(),$A102)</f>
        <v/>
      </c>
      <c r="O102" s="98">
        <f>IF($A102="",NA(),$H102/1000)</f>
        <v/>
      </c>
      <c r="P102" s="98">
        <f>IF($A102="",NA(),$I102/1000)</f>
        <v/>
      </c>
      <c r="Q102" s="98">
        <f>IF($A102="",NA(),$J102/1000)</f>
        <v/>
      </c>
      <c r="R102" s="98">
        <f>IF($A102="",NA(),$K102/1000)</f>
        <v/>
      </c>
    </row>
    <row r="103">
      <c r="A103" s="96">
        <f>IF('Directional Survey'!A77="","",'Directional Survey'!A77)</f>
        <v/>
      </c>
      <c r="B103" s="97">
        <f>IF($A103="","",'Directional Survey'!B77)</f>
        <v/>
      </c>
      <c r="C103" s="96">
        <f>IF(OR($A103="",'Directional Survey'!A78=""),"",'Directional Survey'!A78-$A103)</f>
        <v/>
      </c>
      <c r="D103" s="97">
        <f>IF($C103="","",($B103+'Directional Survey'!B78)/2)</f>
        <v/>
      </c>
      <c r="E103" s="97">
        <f>IF($C103="","",RADIANS('Directional Survey'!B78-$B103))</f>
        <v/>
      </c>
      <c r="F103" s="97">
        <f>IF($C103="","",RADIANS('Directional Survey'!C78-'Directional Survey'!C77))</f>
        <v/>
      </c>
      <c r="G103" s="97">
        <f>IF($C103="","",$B$27*IF(($A103+$A103+$C103)/2&gt;$B$11-$B$17,$B$16,$B$15))</f>
        <v/>
      </c>
      <c r="H103" s="96">
        <f>IF($A103="","",IF($C103="",0,$H104+$G103*$C103*COS(RADIANS($D103))+IF(($A103+$C103/2)&lt;=$B$12,$B$18,$B$19)*SQRT(($H104*$F103*SIN(RADIANS($D103)))^2+($H104*$E103+$G103*$C103*SIN(RADIANS($D103)))^2)))</f>
        <v/>
      </c>
      <c r="I103" s="96">
        <f>IF($A103="","",IF($C103="",-$B$20*1000,$I104+$G103*$C103*COS(RADIANS($D103))-IF(($A103+$C103/2)&lt;=$B$12,$B$18,$B$19)*SQRT(($I104*$F103*SIN(RADIANS($D103)))^2+($I104*$E103+$G103*$C103*SIN(RADIANS($D103)))^2)))</f>
        <v/>
      </c>
      <c r="J103" s="96">
        <f>IF($A103="","",IF($C103="",-$B$20*1000,$J104+$G103*$C103*COS(RADIANS($D103))))</f>
        <v/>
      </c>
      <c r="K103" s="96">
        <f>IF($A103="","",IF($C103="",$B$21,$K104+IF(($A103+$C103/2)&lt;=$B$12,$B$18,$B$19)*SQRT(($J104*$F103*SIN(RADIANS($D103)))^2+($J104*$E103+$G103*$C103*SIN(RADIANS($D103)))^2)*$B$22/24))</f>
        <v/>
      </c>
      <c r="L103" s="96">
        <f>IF($C103="","",2*SQRT($B$26*$B$28*($G103/12)*SIN(RADIANS(MAX($D103,3)))/(IF($A103&lt;=$B$12,$B$14,$B$13)-$B$24)/2))</f>
        <v/>
      </c>
      <c r="M103" s="9">
        <f>IF($C103="","",IF($I103&lt;-1.41*$L103,"HELICAL BUCKLING - CHECK",IF($I103&lt;-$L103,"SINUSOIDAL - MARGINAL","")))</f>
        <v/>
      </c>
      <c r="N103" s="98">
        <f>IF($A103="",NA(),$A103)</f>
        <v/>
      </c>
      <c r="O103" s="98">
        <f>IF($A103="",NA(),$H103/1000)</f>
        <v/>
      </c>
      <c r="P103" s="98">
        <f>IF($A103="",NA(),$I103/1000)</f>
        <v/>
      </c>
      <c r="Q103" s="98">
        <f>IF($A103="",NA(),$J103/1000)</f>
        <v/>
      </c>
      <c r="R103" s="98">
        <f>IF($A103="",NA(),$K103/1000)</f>
        <v/>
      </c>
    </row>
    <row r="104">
      <c r="A104" s="96">
        <f>IF('Directional Survey'!A78="","",'Directional Survey'!A78)</f>
        <v/>
      </c>
      <c r="B104" s="97">
        <f>IF($A104="","",'Directional Survey'!B78)</f>
        <v/>
      </c>
      <c r="C104" s="96">
        <f>IF(OR($A104="",'Directional Survey'!A79=""),"",'Directional Survey'!A79-$A104)</f>
        <v/>
      </c>
      <c r="D104" s="97">
        <f>IF($C104="","",($B104+'Directional Survey'!B79)/2)</f>
        <v/>
      </c>
      <c r="E104" s="97">
        <f>IF($C104="","",RADIANS('Directional Survey'!B79-$B104))</f>
        <v/>
      </c>
      <c r="F104" s="97">
        <f>IF($C104="","",RADIANS('Directional Survey'!C79-'Directional Survey'!C78))</f>
        <v/>
      </c>
      <c r="G104" s="97">
        <f>IF($C104="","",$B$27*IF(($A104+$A104+$C104)/2&gt;$B$11-$B$17,$B$16,$B$15))</f>
        <v/>
      </c>
      <c r="H104" s="96">
        <f>IF($A104="","",IF($C104="",0,$H105+$G104*$C104*COS(RADIANS($D104))+IF(($A104+$C104/2)&lt;=$B$12,$B$18,$B$19)*SQRT(($H105*$F104*SIN(RADIANS($D104)))^2+($H105*$E104+$G104*$C104*SIN(RADIANS($D104)))^2)))</f>
        <v/>
      </c>
      <c r="I104" s="96">
        <f>IF($A104="","",IF($C104="",-$B$20*1000,$I105+$G104*$C104*COS(RADIANS($D104))-IF(($A104+$C104/2)&lt;=$B$12,$B$18,$B$19)*SQRT(($I105*$F104*SIN(RADIANS($D104)))^2+($I105*$E104+$G104*$C104*SIN(RADIANS($D104)))^2)))</f>
        <v/>
      </c>
      <c r="J104" s="96">
        <f>IF($A104="","",IF($C104="",-$B$20*1000,$J105+$G104*$C104*COS(RADIANS($D104))))</f>
        <v/>
      </c>
      <c r="K104" s="96">
        <f>IF($A104="","",IF($C104="",$B$21,$K105+IF(($A104+$C104/2)&lt;=$B$12,$B$18,$B$19)*SQRT(($J105*$F104*SIN(RADIANS($D104)))^2+($J105*$E104+$G104*$C104*SIN(RADIANS($D104)))^2)*$B$22/24))</f>
        <v/>
      </c>
      <c r="L104" s="96">
        <f>IF($C104="","",2*SQRT($B$26*$B$28*($G104/12)*SIN(RADIANS(MAX($D104,3)))/(IF($A104&lt;=$B$12,$B$14,$B$13)-$B$24)/2))</f>
        <v/>
      </c>
      <c r="M104" s="9">
        <f>IF($C104="","",IF($I104&lt;-1.41*$L104,"HELICAL BUCKLING - CHECK",IF($I104&lt;-$L104,"SINUSOIDAL - MARGINAL","")))</f>
        <v/>
      </c>
      <c r="N104" s="98">
        <f>IF($A104="",NA(),$A104)</f>
        <v/>
      </c>
      <c r="O104" s="98">
        <f>IF($A104="",NA(),$H104/1000)</f>
        <v/>
      </c>
      <c r="P104" s="98">
        <f>IF($A104="",NA(),$I104/1000)</f>
        <v/>
      </c>
      <c r="Q104" s="98">
        <f>IF($A104="",NA(),$J104/1000)</f>
        <v/>
      </c>
      <c r="R104" s="98">
        <f>IF($A104="",NA(),$K104/1000)</f>
        <v/>
      </c>
    </row>
    <row r="105">
      <c r="A105" s="96">
        <f>IF('Directional Survey'!A79="","",'Directional Survey'!A79)</f>
        <v/>
      </c>
      <c r="B105" s="97">
        <f>IF($A105="","",'Directional Survey'!B79)</f>
        <v/>
      </c>
      <c r="C105" s="96">
        <f>IF(OR($A105="",'Directional Survey'!A80=""),"",'Directional Survey'!A80-$A105)</f>
        <v/>
      </c>
      <c r="D105" s="97">
        <f>IF($C105="","",($B105+'Directional Survey'!B80)/2)</f>
        <v/>
      </c>
      <c r="E105" s="97">
        <f>IF($C105="","",RADIANS('Directional Survey'!B80-$B105))</f>
        <v/>
      </c>
      <c r="F105" s="97">
        <f>IF($C105="","",RADIANS('Directional Survey'!C80-'Directional Survey'!C79))</f>
        <v/>
      </c>
      <c r="G105" s="97">
        <f>IF($C105="","",$B$27*IF(($A105+$A105+$C105)/2&gt;$B$11-$B$17,$B$16,$B$15))</f>
        <v/>
      </c>
      <c r="H105" s="96">
        <f>IF($A105="","",IF($C105="",0,$H106+$G105*$C105*COS(RADIANS($D105))+IF(($A105+$C105/2)&lt;=$B$12,$B$18,$B$19)*SQRT(($H106*$F105*SIN(RADIANS($D105)))^2+($H106*$E105+$G105*$C105*SIN(RADIANS($D105)))^2)))</f>
        <v/>
      </c>
      <c r="I105" s="96">
        <f>IF($A105="","",IF($C105="",-$B$20*1000,$I106+$G105*$C105*COS(RADIANS($D105))-IF(($A105+$C105/2)&lt;=$B$12,$B$18,$B$19)*SQRT(($I106*$F105*SIN(RADIANS($D105)))^2+($I106*$E105+$G105*$C105*SIN(RADIANS($D105)))^2)))</f>
        <v/>
      </c>
      <c r="J105" s="96">
        <f>IF($A105="","",IF($C105="",-$B$20*1000,$J106+$G105*$C105*COS(RADIANS($D105))))</f>
        <v/>
      </c>
      <c r="K105" s="96">
        <f>IF($A105="","",IF($C105="",$B$21,$K106+IF(($A105+$C105/2)&lt;=$B$12,$B$18,$B$19)*SQRT(($J106*$F105*SIN(RADIANS($D105)))^2+($J106*$E105+$G105*$C105*SIN(RADIANS($D105)))^2)*$B$22/24))</f>
        <v/>
      </c>
      <c r="L105" s="96">
        <f>IF($C105="","",2*SQRT($B$26*$B$28*($G105/12)*SIN(RADIANS(MAX($D105,3)))/(IF($A105&lt;=$B$12,$B$14,$B$13)-$B$24)/2))</f>
        <v/>
      </c>
      <c r="M105" s="9">
        <f>IF($C105="","",IF($I105&lt;-1.41*$L105,"HELICAL BUCKLING - CHECK",IF($I105&lt;-$L105,"SINUSOIDAL - MARGINAL","")))</f>
        <v/>
      </c>
      <c r="N105" s="98">
        <f>IF($A105="",NA(),$A105)</f>
        <v/>
      </c>
      <c r="O105" s="98">
        <f>IF($A105="",NA(),$H105/1000)</f>
        <v/>
      </c>
      <c r="P105" s="98">
        <f>IF($A105="",NA(),$I105/1000)</f>
        <v/>
      </c>
      <c r="Q105" s="98">
        <f>IF($A105="",NA(),$J105/1000)</f>
        <v/>
      </c>
      <c r="R105" s="98">
        <f>IF($A105="",NA(),$K105/1000)</f>
        <v/>
      </c>
    </row>
    <row r="106">
      <c r="A106" s="96">
        <f>IF('Directional Survey'!A80="","",'Directional Survey'!A80)</f>
        <v/>
      </c>
      <c r="B106" s="97">
        <f>IF($A106="","",'Directional Survey'!B80)</f>
        <v/>
      </c>
      <c r="C106" s="96">
        <f>IF(OR($A106="",'Directional Survey'!A81=""),"",'Directional Survey'!A81-$A106)</f>
        <v/>
      </c>
      <c r="D106" s="97">
        <f>IF($C106="","",($B106+'Directional Survey'!B81)/2)</f>
        <v/>
      </c>
      <c r="E106" s="97">
        <f>IF($C106="","",RADIANS('Directional Survey'!B81-$B106))</f>
        <v/>
      </c>
      <c r="F106" s="97">
        <f>IF($C106="","",RADIANS('Directional Survey'!C81-'Directional Survey'!C80))</f>
        <v/>
      </c>
      <c r="G106" s="97">
        <f>IF($C106="","",$B$27*IF(($A106+$A106+$C106)/2&gt;$B$11-$B$17,$B$16,$B$15))</f>
        <v/>
      </c>
      <c r="H106" s="96">
        <f>IF($A106="","",IF($C106="",0,$H107+$G106*$C106*COS(RADIANS($D106))+IF(($A106+$C106/2)&lt;=$B$12,$B$18,$B$19)*SQRT(($H107*$F106*SIN(RADIANS($D106)))^2+($H107*$E106+$G106*$C106*SIN(RADIANS($D106)))^2)))</f>
        <v/>
      </c>
      <c r="I106" s="96">
        <f>IF($A106="","",IF($C106="",-$B$20*1000,$I107+$G106*$C106*COS(RADIANS($D106))-IF(($A106+$C106/2)&lt;=$B$12,$B$18,$B$19)*SQRT(($I107*$F106*SIN(RADIANS($D106)))^2+($I107*$E106+$G106*$C106*SIN(RADIANS($D106)))^2)))</f>
        <v/>
      </c>
      <c r="J106" s="96">
        <f>IF($A106="","",IF($C106="",-$B$20*1000,$J107+$G106*$C106*COS(RADIANS($D106))))</f>
        <v/>
      </c>
      <c r="K106" s="96">
        <f>IF($A106="","",IF($C106="",$B$21,$K107+IF(($A106+$C106/2)&lt;=$B$12,$B$18,$B$19)*SQRT(($J107*$F106*SIN(RADIANS($D106)))^2+($J107*$E106+$G106*$C106*SIN(RADIANS($D106)))^2)*$B$22/24))</f>
        <v/>
      </c>
      <c r="L106" s="96">
        <f>IF($C106="","",2*SQRT($B$26*$B$28*($G106/12)*SIN(RADIANS(MAX($D106,3)))/(IF($A106&lt;=$B$12,$B$14,$B$13)-$B$24)/2))</f>
        <v/>
      </c>
      <c r="M106" s="9">
        <f>IF($C106="","",IF($I106&lt;-1.41*$L106,"HELICAL BUCKLING - CHECK",IF($I106&lt;-$L106,"SINUSOIDAL - MARGINAL","")))</f>
        <v/>
      </c>
      <c r="N106" s="98">
        <f>IF($A106="",NA(),$A106)</f>
        <v/>
      </c>
      <c r="O106" s="98">
        <f>IF($A106="",NA(),$H106/1000)</f>
        <v/>
      </c>
      <c r="P106" s="98">
        <f>IF($A106="",NA(),$I106/1000)</f>
        <v/>
      </c>
      <c r="Q106" s="98">
        <f>IF($A106="",NA(),$J106/1000)</f>
        <v/>
      </c>
      <c r="R106" s="98">
        <f>IF($A106="",NA(),$K106/1000)</f>
        <v/>
      </c>
    </row>
    <row r="107">
      <c r="A107" s="96">
        <f>IF('Directional Survey'!A81="","",'Directional Survey'!A81)</f>
        <v/>
      </c>
      <c r="B107" s="97">
        <f>IF($A107="","",'Directional Survey'!B81)</f>
        <v/>
      </c>
      <c r="C107" s="96">
        <f>IF(OR($A107="",'Directional Survey'!A82=""),"",'Directional Survey'!A82-$A107)</f>
        <v/>
      </c>
      <c r="D107" s="97">
        <f>IF($C107="","",($B107+'Directional Survey'!B82)/2)</f>
        <v/>
      </c>
      <c r="E107" s="97">
        <f>IF($C107="","",RADIANS('Directional Survey'!B82-$B107))</f>
        <v/>
      </c>
      <c r="F107" s="97">
        <f>IF($C107="","",RADIANS('Directional Survey'!C82-'Directional Survey'!C81))</f>
        <v/>
      </c>
      <c r="G107" s="97">
        <f>IF($C107="","",$B$27*IF(($A107+$A107+$C107)/2&gt;$B$11-$B$17,$B$16,$B$15))</f>
        <v/>
      </c>
      <c r="H107" s="96">
        <f>IF($A107="","",IF($C107="",0,$H108+$G107*$C107*COS(RADIANS($D107))+IF(($A107+$C107/2)&lt;=$B$12,$B$18,$B$19)*SQRT(($H108*$F107*SIN(RADIANS($D107)))^2+($H108*$E107+$G107*$C107*SIN(RADIANS($D107)))^2)))</f>
        <v/>
      </c>
      <c r="I107" s="96">
        <f>IF($A107="","",IF($C107="",-$B$20*1000,$I108+$G107*$C107*COS(RADIANS($D107))-IF(($A107+$C107/2)&lt;=$B$12,$B$18,$B$19)*SQRT(($I108*$F107*SIN(RADIANS($D107)))^2+($I108*$E107+$G107*$C107*SIN(RADIANS($D107)))^2)))</f>
        <v/>
      </c>
      <c r="J107" s="96">
        <f>IF($A107="","",IF($C107="",-$B$20*1000,$J108+$G107*$C107*COS(RADIANS($D107))))</f>
        <v/>
      </c>
      <c r="K107" s="96">
        <f>IF($A107="","",IF($C107="",$B$21,$K108+IF(($A107+$C107/2)&lt;=$B$12,$B$18,$B$19)*SQRT(($J108*$F107*SIN(RADIANS($D107)))^2+($J108*$E107+$G107*$C107*SIN(RADIANS($D107)))^2)*$B$22/24))</f>
        <v/>
      </c>
      <c r="L107" s="96">
        <f>IF($C107="","",2*SQRT($B$26*$B$28*($G107/12)*SIN(RADIANS(MAX($D107,3)))/(IF($A107&lt;=$B$12,$B$14,$B$13)-$B$24)/2))</f>
        <v/>
      </c>
      <c r="M107" s="9">
        <f>IF($C107="","",IF($I107&lt;-1.41*$L107,"HELICAL BUCKLING - CHECK",IF($I107&lt;-$L107,"SINUSOIDAL - MARGINAL","")))</f>
        <v/>
      </c>
      <c r="N107" s="98">
        <f>IF($A107="",NA(),$A107)</f>
        <v/>
      </c>
      <c r="O107" s="98">
        <f>IF($A107="",NA(),$H107/1000)</f>
        <v/>
      </c>
      <c r="P107" s="98">
        <f>IF($A107="",NA(),$I107/1000)</f>
        <v/>
      </c>
      <c r="Q107" s="98">
        <f>IF($A107="",NA(),$J107/1000)</f>
        <v/>
      </c>
      <c r="R107" s="98">
        <f>IF($A107="",NA(),$K107/1000)</f>
        <v/>
      </c>
    </row>
    <row r="108">
      <c r="A108" s="96">
        <f>IF('Directional Survey'!A82="","",'Directional Survey'!A82)</f>
        <v/>
      </c>
      <c r="B108" s="97">
        <f>IF($A108="","",'Directional Survey'!B82)</f>
        <v/>
      </c>
      <c r="C108" s="96">
        <f>IF(OR($A108="",'Directional Survey'!A83=""),"",'Directional Survey'!A83-$A108)</f>
        <v/>
      </c>
      <c r="D108" s="97">
        <f>IF($C108="","",($B108+'Directional Survey'!B83)/2)</f>
        <v/>
      </c>
      <c r="E108" s="97">
        <f>IF($C108="","",RADIANS('Directional Survey'!B83-$B108))</f>
        <v/>
      </c>
      <c r="F108" s="97">
        <f>IF($C108="","",RADIANS('Directional Survey'!C83-'Directional Survey'!C82))</f>
        <v/>
      </c>
      <c r="G108" s="97">
        <f>IF($C108="","",$B$27*IF(($A108+$A108+$C108)/2&gt;$B$11-$B$17,$B$16,$B$15))</f>
        <v/>
      </c>
      <c r="H108" s="96">
        <f>IF($A108="","",IF($C108="",0,$H109+$G108*$C108*COS(RADIANS($D108))+IF(($A108+$C108/2)&lt;=$B$12,$B$18,$B$19)*SQRT(($H109*$F108*SIN(RADIANS($D108)))^2+($H109*$E108+$G108*$C108*SIN(RADIANS($D108)))^2)))</f>
        <v/>
      </c>
      <c r="I108" s="96">
        <f>IF($A108="","",IF($C108="",-$B$20*1000,$I109+$G108*$C108*COS(RADIANS($D108))-IF(($A108+$C108/2)&lt;=$B$12,$B$18,$B$19)*SQRT(($I109*$F108*SIN(RADIANS($D108)))^2+($I109*$E108+$G108*$C108*SIN(RADIANS($D108)))^2)))</f>
        <v/>
      </c>
      <c r="J108" s="96">
        <f>IF($A108="","",IF($C108="",-$B$20*1000,$J109+$G108*$C108*COS(RADIANS($D108))))</f>
        <v/>
      </c>
      <c r="K108" s="96">
        <f>IF($A108="","",IF($C108="",$B$21,$K109+IF(($A108+$C108/2)&lt;=$B$12,$B$18,$B$19)*SQRT(($J109*$F108*SIN(RADIANS($D108)))^2+($J109*$E108+$G108*$C108*SIN(RADIANS($D108)))^2)*$B$22/24))</f>
        <v/>
      </c>
      <c r="L108" s="96">
        <f>IF($C108="","",2*SQRT($B$26*$B$28*($G108/12)*SIN(RADIANS(MAX($D108,3)))/(IF($A108&lt;=$B$12,$B$14,$B$13)-$B$24)/2))</f>
        <v/>
      </c>
      <c r="M108" s="9">
        <f>IF($C108="","",IF($I108&lt;-1.41*$L108,"HELICAL BUCKLING - CHECK",IF($I108&lt;-$L108,"SINUSOIDAL - MARGINAL","")))</f>
        <v/>
      </c>
      <c r="N108" s="98">
        <f>IF($A108="",NA(),$A108)</f>
        <v/>
      </c>
      <c r="O108" s="98">
        <f>IF($A108="",NA(),$H108/1000)</f>
        <v/>
      </c>
      <c r="P108" s="98">
        <f>IF($A108="",NA(),$I108/1000)</f>
        <v/>
      </c>
      <c r="Q108" s="98">
        <f>IF($A108="",NA(),$J108/1000)</f>
        <v/>
      </c>
      <c r="R108" s="98">
        <f>IF($A108="",NA(),$K108/1000)</f>
        <v/>
      </c>
    </row>
    <row r="109">
      <c r="A109" s="96">
        <f>IF('Directional Survey'!A83="","",'Directional Survey'!A83)</f>
        <v/>
      </c>
      <c r="B109" s="97">
        <f>IF($A109="","",'Directional Survey'!B83)</f>
        <v/>
      </c>
      <c r="C109" s="96">
        <f>IF(OR($A109="",'Directional Survey'!A84=""),"",'Directional Survey'!A84-$A109)</f>
        <v/>
      </c>
      <c r="D109" s="97">
        <f>IF($C109="","",($B109+'Directional Survey'!B84)/2)</f>
        <v/>
      </c>
      <c r="E109" s="97">
        <f>IF($C109="","",RADIANS('Directional Survey'!B84-$B109))</f>
        <v/>
      </c>
      <c r="F109" s="97">
        <f>IF($C109="","",RADIANS('Directional Survey'!C84-'Directional Survey'!C83))</f>
        <v/>
      </c>
      <c r="G109" s="97">
        <f>IF($C109="","",$B$27*IF(($A109+$A109+$C109)/2&gt;$B$11-$B$17,$B$16,$B$15))</f>
        <v/>
      </c>
      <c r="H109" s="96">
        <f>IF($A109="","",IF($C109="",0,$H110+$G109*$C109*COS(RADIANS($D109))+IF(($A109+$C109/2)&lt;=$B$12,$B$18,$B$19)*SQRT(($H110*$F109*SIN(RADIANS($D109)))^2+($H110*$E109+$G109*$C109*SIN(RADIANS($D109)))^2)))</f>
        <v/>
      </c>
      <c r="I109" s="96">
        <f>IF($A109="","",IF($C109="",-$B$20*1000,$I110+$G109*$C109*COS(RADIANS($D109))-IF(($A109+$C109/2)&lt;=$B$12,$B$18,$B$19)*SQRT(($I110*$F109*SIN(RADIANS($D109)))^2+($I110*$E109+$G109*$C109*SIN(RADIANS($D109)))^2)))</f>
        <v/>
      </c>
      <c r="J109" s="96">
        <f>IF($A109="","",IF($C109="",-$B$20*1000,$J110+$G109*$C109*COS(RADIANS($D109))))</f>
        <v/>
      </c>
      <c r="K109" s="96">
        <f>IF($A109="","",IF($C109="",$B$21,$K110+IF(($A109+$C109/2)&lt;=$B$12,$B$18,$B$19)*SQRT(($J110*$F109*SIN(RADIANS($D109)))^2+($J110*$E109+$G109*$C109*SIN(RADIANS($D109)))^2)*$B$22/24))</f>
        <v/>
      </c>
      <c r="L109" s="96">
        <f>IF($C109="","",2*SQRT($B$26*$B$28*($G109/12)*SIN(RADIANS(MAX($D109,3)))/(IF($A109&lt;=$B$12,$B$14,$B$13)-$B$24)/2))</f>
        <v/>
      </c>
      <c r="M109" s="9">
        <f>IF($C109="","",IF($I109&lt;-1.41*$L109,"HELICAL BUCKLING - CHECK",IF($I109&lt;-$L109,"SINUSOIDAL - MARGINAL","")))</f>
        <v/>
      </c>
      <c r="N109" s="98">
        <f>IF($A109="",NA(),$A109)</f>
        <v/>
      </c>
      <c r="O109" s="98">
        <f>IF($A109="",NA(),$H109/1000)</f>
        <v/>
      </c>
      <c r="P109" s="98">
        <f>IF($A109="",NA(),$I109/1000)</f>
        <v/>
      </c>
      <c r="Q109" s="98">
        <f>IF($A109="",NA(),$J109/1000)</f>
        <v/>
      </c>
      <c r="R109" s="98">
        <f>IF($A109="",NA(),$K109/1000)</f>
        <v/>
      </c>
    </row>
    <row r="110">
      <c r="A110" s="96">
        <f>IF('Directional Survey'!A84="","",'Directional Survey'!A84)</f>
        <v/>
      </c>
      <c r="B110" s="97">
        <f>IF($A110="","",'Directional Survey'!B84)</f>
        <v/>
      </c>
      <c r="C110" s="96">
        <f>IF(OR($A110="",'Directional Survey'!A85=""),"",'Directional Survey'!A85-$A110)</f>
        <v/>
      </c>
      <c r="D110" s="97">
        <f>IF($C110="","",($B110+'Directional Survey'!B85)/2)</f>
        <v/>
      </c>
      <c r="E110" s="97">
        <f>IF($C110="","",RADIANS('Directional Survey'!B85-$B110))</f>
        <v/>
      </c>
      <c r="F110" s="97">
        <f>IF($C110="","",RADIANS('Directional Survey'!C85-'Directional Survey'!C84))</f>
        <v/>
      </c>
      <c r="G110" s="97">
        <f>IF($C110="","",$B$27*IF(($A110+$A110+$C110)/2&gt;$B$11-$B$17,$B$16,$B$15))</f>
        <v/>
      </c>
      <c r="H110" s="96">
        <f>IF($A110="","",IF($C110="",0,$H111+$G110*$C110*COS(RADIANS($D110))+IF(($A110+$C110/2)&lt;=$B$12,$B$18,$B$19)*SQRT(($H111*$F110*SIN(RADIANS($D110)))^2+($H111*$E110+$G110*$C110*SIN(RADIANS($D110)))^2)))</f>
        <v/>
      </c>
      <c r="I110" s="96">
        <f>IF($A110="","",IF($C110="",-$B$20*1000,$I111+$G110*$C110*COS(RADIANS($D110))-IF(($A110+$C110/2)&lt;=$B$12,$B$18,$B$19)*SQRT(($I111*$F110*SIN(RADIANS($D110)))^2+($I111*$E110+$G110*$C110*SIN(RADIANS($D110)))^2)))</f>
        <v/>
      </c>
      <c r="J110" s="96">
        <f>IF($A110="","",IF($C110="",-$B$20*1000,$J111+$G110*$C110*COS(RADIANS($D110))))</f>
        <v/>
      </c>
      <c r="K110" s="96">
        <f>IF($A110="","",IF($C110="",$B$21,$K111+IF(($A110+$C110/2)&lt;=$B$12,$B$18,$B$19)*SQRT(($J111*$F110*SIN(RADIANS($D110)))^2+($J111*$E110+$G110*$C110*SIN(RADIANS($D110)))^2)*$B$22/24))</f>
        <v/>
      </c>
      <c r="L110" s="96">
        <f>IF($C110="","",2*SQRT($B$26*$B$28*($G110/12)*SIN(RADIANS(MAX($D110,3)))/(IF($A110&lt;=$B$12,$B$14,$B$13)-$B$24)/2))</f>
        <v/>
      </c>
      <c r="M110" s="9">
        <f>IF($C110="","",IF($I110&lt;-1.41*$L110,"HELICAL BUCKLING - CHECK",IF($I110&lt;-$L110,"SINUSOIDAL - MARGINAL","")))</f>
        <v/>
      </c>
      <c r="N110" s="98">
        <f>IF($A110="",NA(),$A110)</f>
        <v/>
      </c>
      <c r="O110" s="98">
        <f>IF($A110="",NA(),$H110/1000)</f>
        <v/>
      </c>
      <c r="P110" s="98">
        <f>IF($A110="",NA(),$I110/1000)</f>
        <v/>
      </c>
      <c r="Q110" s="98">
        <f>IF($A110="",NA(),$J110/1000)</f>
        <v/>
      </c>
      <c r="R110" s="98">
        <f>IF($A110="",NA(),$K110/1000)</f>
        <v/>
      </c>
    </row>
    <row r="111">
      <c r="A111" s="96">
        <f>IF('Directional Survey'!A85="","",'Directional Survey'!A85)</f>
        <v/>
      </c>
      <c r="B111" s="97">
        <f>IF($A111="","",'Directional Survey'!B85)</f>
        <v/>
      </c>
      <c r="C111" s="96">
        <f>IF(OR($A111="",'Directional Survey'!A86=""),"",'Directional Survey'!A86-$A111)</f>
        <v/>
      </c>
      <c r="D111" s="97">
        <f>IF($C111="","",($B111+'Directional Survey'!B86)/2)</f>
        <v/>
      </c>
      <c r="E111" s="97">
        <f>IF($C111="","",RADIANS('Directional Survey'!B86-$B111))</f>
        <v/>
      </c>
      <c r="F111" s="97">
        <f>IF($C111="","",RADIANS('Directional Survey'!C86-'Directional Survey'!C85))</f>
        <v/>
      </c>
      <c r="G111" s="97">
        <f>IF($C111="","",$B$27*IF(($A111+$A111+$C111)/2&gt;$B$11-$B$17,$B$16,$B$15))</f>
        <v/>
      </c>
      <c r="H111" s="96">
        <f>IF($A111="","",IF($C111="",0,$H112+$G111*$C111*COS(RADIANS($D111))+IF(($A111+$C111/2)&lt;=$B$12,$B$18,$B$19)*SQRT(($H112*$F111*SIN(RADIANS($D111)))^2+($H112*$E111+$G111*$C111*SIN(RADIANS($D111)))^2)))</f>
        <v/>
      </c>
      <c r="I111" s="96">
        <f>IF($A111="","",IF($C111="",-$B$20*1000,$I112+$G111*$C111*COS(RADIANS($D111))-IF(($A111+$C111/2)&lt;=$B$12,$B$18,$B$19)*SQRT(($I112*$F111*SIN(RADIANS($D111)))^2+($I112*$E111+$G111*$C111*SIN(RADIANS($D111)))^2)))</f>
        <v/>
      </c>
      <c r="J111" s="96">
        <f>IF($A111="","",IF($C111="",-$B$20*1000,$J112+$G111*$C111*COS(RADIANS($D111))))</f>
        <v/>
      </c>
      <c r="K111" s="96">
        <f>IF($A111="","",IF($C111="",$B$21,$K112+IF(($A111+$C111/2)&lt;=$B$12,$B$18,$B$19)*SQRT(($J112*$F111*SIN(RADIANS($D111)))^2+($J112*$E111+$G111*$C111*SIN(RADIANS($D111)))^2)*$B$22/24))</f>
        <v/>
      </c>
      <c r="L111" s="96">
        <f>IF($C111="","",2*SQRT($B$26*$B$28*($G111/12)*SIN(RADIANS(MAX($D111,3)))/(IF($A111&lt;=$B$12,$B$14,$B$13)-$B$24)/2))</f>
        <v/>
      </c>
      <c r="M111" s="9">
        <f>IF($C111="","",IF($I111&lt;-1.41*$L111,"HELICAL BUCKLING - CHECK",IF($I111&lt;-$L111,"SINUSOIDAL - MARGINAL","")))</f>
        <v/>
      </c>
      <c r="N111" s="98">
        <f>IF($A111="",NA(),$A111)</f>
        <v/>
      </c>
      <c r="O111" s="98">
        <f>IF($A111="",NA(),$H111/1000)</f>
        <v/>
      </c>
      <c r="P111" s="98">
        <f>IF($A111="",NA(),$I111/1000)</f>
        <v/>
      </c>
      <c r="Q111" s="98">
        <f>IF($A111="",NA(),$J111/1000)</f>
        <v/>
      </c>
      <c r="R111" s="98">
        <f>IF($A111="",NA(),$K111/1000)</f>
        <v/>
      </c>
    </row>
    <row r="112">
      <c r="A112" s="96">
        <f>IF('Directional Survey'!A86="","",'Directional Survey'!A86)</f>
        <v/>
      </c>
      <c r="B112" s="97">
        <f>IF($A112="","",'Directional Survey'!B86)</f>
        <v/>
      </c>
      <c r="C112" s="96">
        <f>IF(OR($A112="",'Directional Survey'!A87=""),"",'Directional Survey'!A87-$A112)</f>
        <v/>
      </c>
      <c r="D112" s="97">
        <f>IF($C112="","",($B112+'Directional Survey'!B87)/2)</f>
        <v/>
      </c>
      <c r="E112" s="97">
        <f>IF($C112="","",RADIANS('Directional Survey'!B87-$B112))</f>
        <v/>
      </c>
      <c r="F112" s="97">
        <f>IF($C112="","",RADIANS('Directional Survey'!C87-'Directional Survey'!C86))</f>
        <v/>
      </c>
      <c r="G112" s="97">
        <f>IF($C112="","",$B$27*IF(($A112+$A112+$C112)/2&gt;$B$11-$B$17,$B$16,$B$15))</f>
        <v/>
      </c>
      <c r="H112" s="96">
        <f>IF($A112="","",IF($C112="",0,$H113+$G112*$C112*COS(RADIANS($D112))+IF(($A112+$C112/2)&lt;=$B$12,$B$18,$B$19)*SQRT(($H113*$F112*SIN(RADIANS($D112)))^2+($H113*$E112+$G112*$C112*SIN(RADIANS($D112)))^2)))</f>
        <v/>
      </c>
      <c r="I112" s="96">
        <f>IF($A112="","",IF($C112="",-$B$20*1000,$I113+$G112*$C112*COS(RADIANS($D112))-IF(($A112+$C112/2)&lt;=$B$12,$B$18,$B$19)*SQRT(($I113*$F112*SIN(RADIANS($D112)))^2+($I113*$E112+$G112*$C112*SIN(RADIANS($D112)))^2)))</f>
        <v/>
      </c>
      <c r="J112" s="96">
        <f>IF($A112="","",IF($C112="",-$B$20*1000,$J113+$G112*$C112*COS(RADIANS($D112))))</f>
        <v/>
      </c>
      <c r="K112" s="96">
        <f>IF($A112="","",IF($C112="",$B$21,$K113+IF(($A112+$C112/2)&lt;=$B$12,$B$18,$B$19)*SQRT(($J113*$F112*SIN(RADIANS($D112)))^2+($J113*$E112+$G112*$C112*SIN(RADIANS($D112)))^2)*$B$22/24))</f>
        <v/>
      </c>
      <c r="L112" s="96">
        <f>IF($C112="","",2*SQRT($B$26*$B$28*($G112/12)*SIN(RADIANS(MAX($D112,3)))/(IF($A112&lt;=$B$12,$B$14,$B$13)-$B$24)/2))</f>
        <v/>
      </c>
      <c r="M112" s="9">
        <f>IF($C112="","",IF($I112&lt;-1.41*$L112,"HELICAL BUCKLING - CHECK",IF($I112&lt;-$L112,"SINUSOIDAL - MARGINAL","")))</f>
        <v/>
      </c>
      <c r="N112" s="98">
        <f>IF($A112="",NA(),$A112)</f>
        <v/>
      </c>
      <c r="O112" s="98">
        <f>IF($A112="",NA(),$H112/1000)</f>
        <v/>
      </c>
      <c r="P112" s="98">
        <f>IF($A112="",NA(),$I112/1000)</f>
        <v/>
      </c>
      <c r="Q112" s="98">
        <f>IF($A112="",NA(),$J112/1000)</f>
        <v/>
      </c>
      <c r="R112" s="98">
        <f>IF($A112="",NA(),$K112/1000)</f>
        <v/>
      </c>
    </row>
    <row r="113">
      <c r="A113" s="96">
        <f>IF('Directional Survey'!A87="","",'Directional Survey'!A87)</f>
        <v/>
      </c>
      <c r="B113" s="97">
        <f>IF($A113="","",'Directional Survey'!B87)</f>
        <v/>
      </c>
      <c r="C113" s="96">
        <f>IF(OR($A113="",'Directional Survey'!A88=""),"",'Directional Survey'!A88-$A113)</f>
        <v/>
      </c>
      <c r="D113" s="97">
        <f>IF($C113="","",($B113+'Directional Survey'!B88)/2)</f>
        <v/>
      </c>
      <c r="E113" s="97">
        <f>IF($C113="","",RADIANS('Directional Survey'!B88-$B113))</f>
        <v/>
      </c>
      <c r="F113" s="97">
        <f>IF($C113="","",RADIANS('Directional Survey'!C88-'Directional Survey'!C87))</f>
        <v/>
      </c>
      <c r="G113" s="97">
        <f>IF($C113="","",$B$27*IF(($A113+$A113+$C113)/2&gt;$B$11-$B$17,$B$16,$B$15))</f>
        <v/>
      </c>
      <c r="H113" s="96">
        <f>IF($A113="","",IF($C113="",0,$H114+$G113*$C113*COS(RADIANS($D113))+IF(($A113+$C113/2)&lt;=$B$12,$B$18,$B$19)*SQRT(($H114*$F113*SIN(RADIANS($D113)))^2+($H114*$E113+$G113*$C113*SIN(RADIANS($D113)))^2)))</f>
        <v/>
      </c>
      <c r="I113" s="96">
        <f>IF($A113="","",IF($C113="",-$B$20*1000,$I114+$G113*$C113*COS(RADIANS($D113))-IF(($A113+$C113/2)&lt;=$B$12,$B$18,$B$19)*SQRT(($I114*$F113*SIN(RADIANS($D113)))^2+($I114*$E113+$G113*$C113*SIN(RADIANS($D113)))^2)))</f>
        <v/>
      </c>
      <c r="J113" s="96">
        <f>IF($A113="","",IF($C113="",-$B$20*1000,$J114+$G113*$C113*COS(RADIANS($D113))))</f>
        <v/>
      </c>
      <c r="K113" s="96">
        <f>IF($A113="","",IF($C113="",$B$21,$K114+IF(($A113+$C113/2)&lt;=$B$12,$B$18,$B$19)*SQRT(($J114*$F113*SIN(RADIANS($D113)))^2+($J114*$E113+$G113*$C113*SIN(RADIANS($D113)))^2)*$B$22/24))</f>
        <v/>
      </c>
      <c r="L113" s="96">
        <f>IF($C113="","",2*SQRT($B$26*$B$28*($G113/12)*SIN(RADIANS(MAX($D113,3)))/(IF($A113&lt;=$B$12,$B$14,$B$13)-$B$24)/2))</f>
        <v/>
      </c>
      <c r="M113" s="9">
        <f>IF($C113="","",IF($I113&lt;-1.41*$L113,"HELICAL BUCKLING - CHECK",IF($I113&lt;-$L113,"SINUSOIDAL - MARGINAL","")))</f>
        <v/>
      </c>
      <c r="N113" s="98">
        <f>IF($A113="",NA(),$A113)</f>
        <v/>
      </c>
      <c r="O113" s="98">
        <f>IF($A113="",NA(),$H113/1000)</f>
        <v/>
      </c>
      <c r="P113" s="98">
        <f>IF($A113="",NA(),$I113/1000)</f>
        <v/>
      </c>
      <c r="Q113" s="98">
        <f>IF($A113="",NA(),$J113/1000)</f>
        <v/>
      </c>
      <c r="R113" s="98">
        <f>IF($A113="",NA(),$K113/1000)</f>
        <v/>
      </c>
    </row>
    <row r="114">
      <c r="A114" s="96">
        <f>IF('Directional Survey'!A88="","",'Directional Survey'!A88)</f>
        <v/>
      </c>
      <c r="B114" s="97">
        <f>IF($A114="","",'Directional Survey'!B88)</f>
        <v/>
      </c>
      <c r="C114" s="96">
        <f>IF(OR($A114="",'Directional Survey'!A89=""),"",'Directional Survey'!A89-$A114)</f>
        <v/>
      </c>
      <c r="D114" s="97">
        <f>IF($C114="","",($B114+'Directional Survey'!B89)/2)</f>
        <v/>
      </c>
      <c r="E114" s="97">
        <f>IF($C114="","",RADIANS('Directional Survey'!B89-$B114))</f>
        <v/>
      </c>
      <c r="F114" s="97">
        <f>IF($C114="","",RADIANS('Directional Survey'!C89-'Directional Survey'!C88))</f>
        <v/>
      </c>
      <c r="G114" s="97">
        <f>IF($C114="","",$B$27*IF(($A114+$A114+$C114)/2&gt;$B$11-$B$17,$B$16,$B$15))</f>
        <v/>
      </c>
      <c r="H114" s="96">
        <f>IF($A114="","",IF($C114="",0,$H115+$G114*$C114*COS(RADIANS($D114))+IF(($A114+$C114/2)&lt;=$B$12,$B$18,$B$19)*SQRT(($H115*$F114*SIN(RADIANS($D114)))^2+($H115*$E114+$G114*$C114*SIN(RADIANS($D114)))^2)))</f>
        <v/>
      </c>
      <c r="I114" s="96">
        <f>IF($A114="","",IF($C114="",-$B$20*1000,$I115+$G114*$C114*COS(RADIANS($D114))-IF(($A114+$C114/2)&lt;=$B$12,$B$18,$B$19)*SQRT(($I115*$F114*SIN(RADIANS($D114)))^2+($I115*$E114+$G114*$C114*SIN(RADIANS($D114)))^2)))</f>
        <v/>
      </c>
      <c r="J114" s="96">
        <f>IF($A114="","",IF($C114="",-$B$20*1000,$J115+$G114*$C114*COS(RADIANS($D114))))</f>
        <v/>
      </c>
      <c r="K114" s="96">
        <f>IF($A114="","",IF($C114="",$B$21,$K115+IF(($A114+$C114/2)&lt;=$B$12,$B$18,$B$19)*SQRT(($J115*$F114*SIN(RADIANS($D114)))^2+($J115*$E114+$G114*$C114*SIN(RADIANS($D114)))^2)*$B$22/24))</f>
        <v/>
      </c>
      <c r="L114" s="96">
        <f>IF($C114="","",2*SQRT($B$26*$B$28*($G114/12)*SIN(RADIANS(MAX($D114,3)))/(IF($A114&lt;=$B$12,$B$14,$B$13)-$B$24)/2))</f>
        <v/>
      </c>
      <c r="M114" s="9">
        <f>IF($C114="","",IF($I114&lt;-1.41*$L114,"HELICAL BUCKLING - CHECK",IF($I114&lt;-$L114,"SINUSOIDAL - MARGINAL","")))</f>
        <v/>
      </c>
      <c r="N114" s="98">
        <f>IF($A114="",NA(),$A114)</f>
        <v/>
      </c>
      <c r="O114" s="98">
        <f>IF($A114="",NA(),$H114/1000)</f>
        <v/>
      </c>
      <c r="P114" s="98">
        <f>IF($A114="",NA(),$I114/1000)</f>
        <v/>
      </c>
      <c r="Q114" s="98">
        <f>IF($A114="",NA(),$J114/1000)</f>
        <v/>
      </c>
      <c r="R114" s="98">
        <f>IF($A114="",NA(),$K114/1000)</f>
        <v/>
      </c>
    </row>
    <row r="115">
      <c r="A115" s="96">
        <f>IF('Directional Survey'!A89="","",'Directional Survey'!A89)</f>
        <v/>
      </c>
      <c r="B115" s="97">
        <f>IF($A115="","",'Directional Survey'!B89)</f>
        <v/>
      </c>
      <c r="C115" s="96">
        <f>IF(OR($A115="",'Directional Survey'!A90=""),"",'Directional Survey'!A90-$A115)</f>
        <v/>
      </c>
      <c r="D115" s="97">
        <f>IF($C115="","",($B115+'Directional Survey'!B90)/2)</f>
        <v/>
      </c>
      <c r="E115" s="97">
        <f>IF($C115="","",RADIANS('Directional Survey'!B90-$B115))</f>
        <v/>
      </c>
      <c r="F115" s="97">
        <f>IF($C115="","",RADIANS('Directional Survey'!C90-'Directional Survey'!C89))</f>
        <v/>
      </c>
      <c r="G115" s="97">
        <f>IF($C115="","",$B$27*IF(($A115+$A115+$C115)/2&gt;$B$11-$B$17,$B$16,$B$15))</f>
        <v/>
      </c>
      <c r="H115" s="96">
        <f>IF($A115="","",IF($C115="",0,$H116+$G115*$C115*COS(RADIANS($D115))+IF(($A115+$C115/2)&lt;=$B$12,$B$18,$B$19)*SQRT(($H116*$F115*SIN(RADIANS($D115)))^2+($H116*$E115+$G115*$C115*SIN(RADIANS($D115)))^2)))</f>
        <v/>
      </c>
      <c r="I115" s="96">
        <f>IF($A115="","",IF($C115="",-$B$20*1000,$I116+$G115*$C115*COS(RADIANS($D115))-IF(($A115+$C115/2)&lt;=$B$12,$B$18,$B$19)*SQRT(($I116*$F115*SIN(RADIANS($D115)))^2+($I116*$E115+$G115*$C115*SIN(RADIANS($D115)))^2)))</f>
        <v/>
      </c>
      <c r="J115" s="96">
        <f>IF($A115="","",IF($C115="",-$B$20*1000,$J116+$G115*$C115*COS(RADIANS($D115))))</f>
        <v/>
      </c>
      <c r="K115" s="96">
        <f>IF($A115="","",IF($C115="",$B$21,$K116+IF(($A115+$C115/2)&lt;=$B$12,$B$18,$B$19)*SQRT(($J116*$F115*SIN(RADIANS($D115)))^2+($J116*$E115+$G115*$C115*SIN(RADIANS($D115)))^2)*$B$22/24))</f>
        <v/>
      </c>
      <c r="L115" s="96">
        <f>IF($C115="","",2*SQRT($B$26*$B$28*($G115/12)*SIN(RADIANS(MAX($D115,3)))/(IF($A115&lt;=$B$12,$B$14,$B$13)-$B$24)/2))</f>
        <v/>
      </c>
      <c r="M115" s="9">
        <f>IF($C115="","",IF($I115&lt;-1.41*$L115,"HELICAL BUCKLING - CHECK",IF($I115&lt;-$L115,"SINUSOIDAL - MARGINAL","")))</f>
        <v/>
      </c>
      <c r="N115" s="98">
        <f>IF($A115="",NA(),$A115)</f>
        <v/>
      </c>
      <c r="O115" s="98">
        <f>IF($A115="",NA(),$H115/1000)</f>
        <v/>
      </c>
      <c r="P115" s="98">
        <f>IF($A115="",NA(),$I115/1000)</f>
        <v/>
      </c>
      <c r="Q115" s="98">
        <f>IF($A115="",NA(),$J115/1000)</f>
        <v/>
      </c>
      <c r="R115" s="98">
        <f>IF($A115="",NA(),$K115/1000)</f>
        <v/>
      </c>
    </row>
    <row r="116">
      <c r="A116" s="96">
        <f>IF('Directional Survey'!A90="","",'Directional Survey'!A90)</f>
        <v/>
      </c>
      <c r="B116" s="97">
        <f>IF($A116="","",'Directional Survey'!B90)</f>
        <v/>
      </c>
      <c r="C116" s="96">
        <f>IF(OR($A116="",'Directional Survey'!A91=""),"",'Directional Survey'!A91-$A116)</f>
        <v/>
      </c>
      <c r="D116" s="97">
        <f>IF($C116="","",($B116+'Directional Survey'!B91)/2)</f>
        <v/>
      </c>
      <c r="E116" s="97">
        <f>IF($C116="","",RADIANS('Directional Survey'!B91-$B116))</f>
        <v/>
      </c>
      <c r="F116" s="97">
        <f>IF($C116="","",RADIANS('Directional Survey'!C91-'Directional Survey'!C90))</f>
        <v/>
      </c>
      <c r="G116" s="97">
        <f>IF($C116="","",$B$27*IF(($A116+$A116+$C116)/2&gt;$B$11-$B$17,$B$16,$B$15))</f>
        <v/>
      </c>
      <c r="H116" s="96">
        <f>IF($A116="","",IF($C116="",0,$H117+$G116*$C116*COS(RADIANS($D116))+IF(($A116+$C116/2)&lt;=$B$12,$B$18,$B$19)*SQRT(($H117*$F116*SIN(RADIANS($D116)))^2+($H117*$E116+$G116*$C116*SIN(RADIANS($D116)))^2)))</f>
        <v/>
      </c>
      <c r="I116" s="96">
        <f>IF($A116="","",IF($C116="",-$B$20*1000,$I117+$G116*$C116*COS(RADIANS($D116))-IF(($A116+$C116/2)&lt;=$B$12,$B$18,$B$19)*SQRT(($I117*$F116*SIN(RADIANS($D116)))^2+($I117*$E116+$G116*$C116*SIN(RADIANS($D116)))^2)))</f>
        <v/>
      </c>
      <c r="J116" s="96">
        <f>IF($A116="","",IF($C116="",-$B$20*1000,$J117+$G116*$C116*COS(RADIANS($D116))))</f>
        <v/>
      </c>
      <c r="K116" s="96">
        <f>IF($A116="","",IF($C116="",$B$21,$K117+IF(($A116+$C116/2)&lt;=$B$12,$B$18,$B$19)*SQRT(($J117*$F116*SIN(RADIANS($D116)))^2+($J117*$E116+$G116*$C116*SIN(RADIANS($D116)))^2)*$B$22/24))</f>
        <v/>
      </c>
      <c r="L116" s="96">
        <f>IF($C116="","",2*SQRT($B$26*$B$28*($G116/12)*SIN(RADIANS(MAX($D116,3)))/(IF($A116&lt;=$B$12,$B$14,$B$13)-$B$24)/2))</f>
        <v/>
      </c>
      <c r="M116" s="9">
        <f>IF($C116="","",IF($I116&lt;-1.41*$L116,"HELICAL BUCKLING - CHECK",IF($I116&lt;-$L116,"SINUSOIDAL - MARGINAL","")))</f>
        <v/>
      </c>
      <c r="N116" s="98">
        <f>IF($A116="",NA(),$A116)</f>
        <v/>
      </c>
      <c r="O116" s="98">
        <f>IF($A116="",NA(),$H116/1000)</f>
        <v/>
      </c>
      <c r="P116" s="98">
        <f>IF($A116="",NA(),$I116/1000)</f>
        <v/>
      </c>
      <c r="Q116" s="98">
        <f>IF($A116="",NA(),$J116/1000)</f>
        <v/>
      </c>
      <c r="R116" s="98">
        <f>IF($A116="",NA(),$K116/1000)</f>
        <v/>
      </c>
    </row>
    <row r="117">
      <c r="A117" s="96">
        <f>IF('Directional Survey'!A91="","",'Directional Survey'!A91)</f>
        <v/>
      </c>
      <c r="B117" s="97">
        <f>IF($A117="","",'Directional Survey'!B91)</f>
        <v/>
      </c>
      <c r="C117" s="96">
        <f>IF(OR($A117="",'Directional Survey'!A92=""),"",'Directional Survey'!A92-$A117)</f>
        <v/>
      </c>
      <c r="D117" s="97">
        <f>IF($C117="","",($B117+'Directional Survey'!B92)/2)</f>
        <v/>
      </c>
      <c r="E117" s="97">
        <f>IF($C117="","",RADIANS('Directional Survey'!B92-$B117))</f>
        <v/>
      </c>
      <c r="F117" s="97">
        <f>IF($C117="","",RADIANS('Directional Survey'!C92-'Directional Survey'!C91))</f>
        <v/>
      </c>
      <c r="G117" s="97">
        <f>IF($C117="","",$B$27*IF(($A117+$A117+$C117)/2&gt;$B$11-$B$17,$B$16,$B$15))</f>
        <v/>
      </c>
      <c r="H117" s="96">
        <f>IF($A117="","",IF($C117="",0,$H118+$G117*$C117*COS(RADIANS($D117))+IF(($A117+$C117/2)&lt;=$B$12,$B$18,$B$19)*SQRT(($H118*$F117*SIN(RADIANS($D117)))^2+($H118*$E117+$G117*$C117*SIN(RADIANS($D117)))^2)))</f>
        <v/>
      </c>
      <c r="I117" s="96">
        <f>IF($A117="","",IF($C117="",-$B$20*1000,$I118+$G117*$C117*COS(RADIANS($D117))-IF(($A117+$C117/2)&lt;=$B$12,$B$18,$B$19)*SQRT(($I118*$F117*SIN(RADIANS($D117)))^2+($I118*$E117+$G117*$C117*SIN(RADIANS($D117)))^2)))</f>
        <v/>
      </c>
      <c r="J117" s="96">
        <f>IF($A117="","",IF($C117="",-$B$20*1000,$J118+$G117*$C117*COS(RADIANS($D117))))</f>
        <v/>
      </c>
      <c r="K117" s="96">
        <f>IF($A117="","",IF($C117="",$B$21,$K118+IF(($A117+$C117/2)&lt;=$B$12,$B$18,$B$19)*SQRT(($J118*$F117*SIN(RADIANS($D117)))^2+($J118*$E117+$G117*$C117*SIN(RADIANS($D117)))^2)*$B$22/24))</f>
        <v/>
      </c>
      <c r="L117" s="96">
        <f>IF($C117="","",2*SQRT($B$26*$B$28*($G117/12)*SIN(RADIANS(MAX($D117,3)))/(IF($A117&lt;=$B$12,$B$14,$B$13)-$B$24)/2))</f>
        <v/>
      </c>
      <c r="M117" s="9">
        <f>IF($C117="","",IF($I117&lt;-1.41*$L117,"HELICAL BUCKLING - CHECK",IF($I117&lt;-$L117,"SINUSOIDAL - MARGINAL","")))</f>
        <v/>
      </c>
      <c r="N117" s="98">
        <f>IF($A117="",NA(),$A117)</f>
        <v/>
      </c>
      <c r="O117" s="98">
        <f>IF($A117="",NA(),$H117/1000)</f>
        <v/>
      </c>
      <c r="P117" s="98">
        <f>IF($A117="",NA(),$I117/1000)</f>
        <v/>
      </c>
      <c r="Q117" s="98">
        <f>IF($A117="",NA(),$J117/1000)</f>
        <v/>
      </c>
      <c r="R117" s="98">
        <f>IF($A117="",NA(),$K117/1000)</f>
        <v/>
      </c>
    </row>
    <row r="118">
      <c r="A118" s="96">
        <f>IF('Directional Survey'!A92="","",'Directional Survey'!A92)</f>
        <v/>
      </c>
      <c r="B118" s="97">
        <f>IF($A118="","",'Directional Survey'!B92)</f>
        <v/>
      </c>
      <c r="C118" s="96">
        <f>IF(OR($A118="",'Directional Survey'!A93=""),"",'Directional Survey'!A93-$A118)</f>
        <v/>
      </c>
      <c r="D118" s="97">
        <f>IF($C118="","",($B118+'Directional Survey'!B93)/2)</f>
        <v/>
      </c>
      <c r="E118" s="97">
        <f>IF($C118="","",RADIANS('Directional Survey'!B93-$B118))</f>
        <v/>
      </c>
      <c r="F118" s="97">
        <f>IF($C118="","",RADIANS('Directional Survey'!C93-'Directional Survey'!C92))</f>
        <v/>
      </c>
      <c r="G118" s="97">
        <f>IF($C118="","",$B$27*IF(($A118+$A118+$C118)/2&gt;$B$11-$B$17,$B$16,$B$15))</f>
        <v/>
      </c>
      <c r="H118" s="96">
        <f>IF($A118="","",IF($C118="",0,$H119+$G118*$C118*COS(RADIANS($D118))+IF(($A118+$C118/2)&lt;=$B$12,$B$18,$B$19)*SQRT(($H119*$F118*SIN(RADIANS($D118)))^2+($H119*$E118+$G118*$C118*SIN(RADIANS($D118)))^2)))</f>
        <v/>
      </c>
      <c r="I118" s="96">
        <f>IF($A118="","",IF($C118="",-$B$20*1000,$I119+$G118*$C118*COS(RADIANS($D118))-IF(($A118+$C118/2)&lt;=$B$12,$B$18,$B$19)*SQRT(($I119*$F118*SIN(RADIANS($D118)))^2+($I119*$E118+$G118*$C118*SIN(RADIANS($D118)))^2)))</f>
        <v/>
      </c>
      <c r="J118" s="96">
        <f>IF($A118="","",IF($C118="",-$B$20*1000,$J119+$G118*$C118*COS(RADIANS($D118))))</f>
        <v/>
      </c>
      <c r="K118" s="96">
        <f>IF($A118="","",IF($C118="",$B$21,$K119+IF(($A118+$C118/2)&lt;=$B$12,$B$18,$B$19)*SQRT(($J119*$F118*SIN(RADIANS($D118)))^2+($J119*$E118+$G118*$C118*SIN(RADIANS($D118)))^2)*$B$22/24))</f>
        <v/>
      </c>
      <c r="L118" s="96">
        <f>IF($C118="","",2*SQRT($B$26*$B$28*($G118/12)*SIN(RADIANS(MAX($D118,3)))/(IF($A118&lt;=$B$12,$B$14,$B$13)-$B$24)/2))</f>
        <v/>
      </c>
      <c r="M118" s="9">
        <f>IF($C118="","",IF($I118&lt;-1.41*$L118,"HELICAL BUCKLING - CHECK",IF($I118&lt;-$L118,"SINUSOIDAL - MARGINAL","")))</f>
        <v/>
      </c>
      <c r="N118" s="98">
        <f>IF($A118="",NA(),$A118)</f>
        <v/>
      </c>
      <c r="O118" s="98">
        <f>IF($A118="",NA(),$H118/1000)</f>
        <v/>
      </c>
      <c r="P118" s="98">
        <f>IF($A118="",NA(),$I118/1000)</f>
        <v/>
      </c>
      <c r="Q118" s="98">
        <f>IF($A118="",NA(),$J118/1000)</f>
        <v/>
      </c>
      <c r="R118" s="98">
        <f>IF($A118="",NA(),$K118/1000)</f>
        <v/>
      </c>
    </row>
    <row r="119">
      <c r="A119" s="96">
        <f>IF('Directional Survey'!A93="","",'Directional Survey'!A93)</f>
        <v/>
      </c>
      <c r="B119" s="97">
        <f>IF($A119="","",'Directional Survey'!B93)</f>
        <v/>
      </c>
      <c r="C119" s="96">
        <f>IF(OR($A119="",'Directional Survey'!A94=""),"",'Directional Survey'!A94-$A119)</f>
        <v/>
      </c>
      <c r="D119" s="97">
        <f>IF($C119="","",($B119+'Directional Survey'!B94)/2)</f>
        <v/>
      </c>
      <c r="E119" s="97">
        <f>IF($C119="","",RADIANS('Directional Survey'!B94-$B119))</f>
        <v/>
      </c>
      <c r="F119" s="97">
        <f>IF($C119="","",RADIANS('Directional Survey'!C94-'Directional Survey'!C93))</f>
        <v/>
      </c>
      <c r="G119" s="97">
        <f>IF($C119="","",$B$27*IF(($A119+$A119+$C119)/2&gt;$B$11-$B$17,$B$16,$B$15))</f>
        <v/>
      </c>
      <c r="H119" s="96">
        <f>IF($A119="","",IF($C119="",0,$H120+$G119*$C119*COS(RADIANS($D119))+IF(($A119+$C119/2)&lt;=$B$12,$B$18,$B$19)*SQRT(($H120*$F119*SIN(RADIANS($D119)))^2+($H120*$E119+$G119*$C119*SIN(RADIANS($D119)))^2)))</f>
        <v/>
      </c>
      <c r="I119" s="96">
        <f>IF($A119="","",IF($C119="",-$B$20*1000,$I120+$G119*$C119*COS(RADIANS($D119))-IF(($A119+$C119/2)&lt;=$B$12,$B$18,$B$19)*SQRT(($I120*$F119*SIN(RADIANS($D119)))^2+($I120*$E119+$G119*$C119*SIN(RADIANS($D119)))^2)))</f>
        <v/>
      </c>
      <c r="J119" s="96">
        <f>IF($A119="","",IF($C119="",-$B$20*1000,$J120+$G119*$C119*COS(RADIANS($D119))))</f>
        <v/>
      </c>
      <c r="K119" s="96">
        <f>IF($A119="","",IF($C119="",$B$21,$K120+IF(($A119+$C119/2)&lt;=$B$12,$B$18,$B$19)*SQRT(($J120*$F119*SIN(RADIANS($D119)))^2+($J120*$E119+$G119*$C119*SIN(RADIANS($D119)))^2)*$B$22/24))</f>
        <v/>
      </c>
      <c r="L119" s="96">
        <f>IF($C119="","",2*SQRT($B$26*$B$28*($G119/12)*SIN(RADIANS(MAX($D119,3)))/(IF($A119&lt;=$B$12,$B$14,$B$13)-$B$24)/2))</f>
        <v/>
      </c>
      <c r="M119" s="9">
        <f>IF($C119="","",IF($I119&lt;-1.41*$L119,"HELICAL BUCKLING - CHECK",IF($I119&lt;-$L119,"SINUSOIDAL - MARGINAL","")))</f>
        <v/>
      </c>
      <c r="N119" s="98">
        <f>IF($A119="",NA(),$A119)</f>
        <v/>
      </c>
      <c r="O119" s="98">
        <f>IF($A119="",NA(),$H119/1000)</f>
        <v/>
      </c>
      <c r="P119" s="98">
        <f>IF($A119="",NA(),$I119/1000)</f>
        <v/>
      </c>
      <c r="Q119" s="98">
        <f>IF($A119="",NA(),$J119/1000)</f>
        <v/>
      </c>
      <c r="R119" s="98">
        <f>IF($A119="",NA(),$K119/1000)</f>
        <v/>
      </c>
    </row>
    <row r="120">
      <c r="A120" s="96">
        <f>IF('Directional Survey'!A94="","",'Directional Survey'!A94)</f>
        <v/>
      </c>
      <c r="B120" s="97">
        <f>IF($A120="","",'Directional Survey'!B94)</f>
        <v/>
      </c>
      <c r="C120" s="96">
        <f>IF(OR($A120="",'Directional Survey'!A95=""),"",'Directional Survey'!A95-$A120)</f>
        <v/>
      </c>
      <c r="D120" s="97">
        <f>IF($C120="","",($B120+'Directional Survey'!B95)/2)</f>
        <v/>
      </c>
      <c r="E120" s="97">
        <f>IF($C120="","",RADIANS('Directional Survey'!B95-$B120))</f>
        <v/>
      </c>
      <c r="F120" s="97">
        <f>IF($C120="","",RADIANS('Directional Survey'!C95-'Directional Survey'!C94))</f>
        <v/>
      </c>
      <c r="G120" s="97">
        <f>IF($C120="","",$B$27*IF(($A120+$A120+$C120)/2&gt;$B$11-$B$17,$B$16,$B$15))</f>
        <v/>
      </c>
      <c r="H120" s="96">
        <f>IF($A120="","",IF($C120="",0,$H121+$G120*$C120*COS(RADIANS($D120))+IF(($A120+$C120/2)&lt;=$B$12,$B$18,$B$19)*SQRT(($H121*$F120*SIN(RADIANS($D120)))^2+($H121*$E120+$G120*$C120*SIN(RADIANS($D120)))^2)))</f>
        <v/>
      </c>
      <c r="I120" s="96">
        <f>IF($A120="","",IF($C120="",-$B$20*1000,$I121+$G120*$C120*COS(RADIANS($D120))-IF(($A120+$C120/2)&lt;=$B$12,$B$18,$B$19)*SQRT(($I121*$F120*SIN(RADIANS($D120)))^2+($I121*$E120+$G120*$C120*SIN(RADIANS($D120)))^2)))</f>
        <v/>
      </c>
      <c r="J120" s="96">
        <f>IF($A120="","",IF($C120="",-$B$20*1000,$J121+$G120*$C120*COS(RADIANS($D120))))</f>
        <v/>
      </c>
      <c r="K120" s="96">
        <f>IF($A120="","",IF($C120="",$B$21,$K121+IF(($A120+$C120/2)&lt;=$B$12,$B$18,$B$19)*SQRT(($J121*$F120*SIN(RADIANS($D120)))^2+($J121*$E120+$G120*$C120*SIN(RADIANS($D120)))^2)*$B$22/24))</f>
        <v/>
      </c>
      <c r="L120" s="96">
        <f>IF($C120="","",2*SQRT($B$26*$B$28*($G120/12)*SIN(RADIANS(MAX($D120,3)))/(IF($A120&lt;=$B$12,$B$14,$B$13)-$B$24)/2))</f>
        <v/>
      </c>
      <c r="M120" s="9">
        <f>IF($C120="","",IF($I120&lt;-1.41*$L120,"HELICAL BUCKLING - CHECK",IF($I120&lt;-$L120,"SINUSOIDAL - MARGINAL","")))</f>
        <v/>
      </c>
      <c r="N120" s="98">
        <f>IF($A120="",NA(),$A120)</f>
        <v/>
      </c>
      <c r="O120" s="98">
        <f>IF($A120="",NA(),$H120/1000)</f>
        <v/>
      </c>
      <c r="P120" s="98">
        <f>IF($A120="",NA(),$I120/1000)</f>
        <v/>
      </c>
      <c r="Q120" s="98">
        <f>IF($A120="",NA(),$J120/1000)</f>
        <v/>
      </c>
      <c r="R120" s="98">
        <f>IF($A120="",NA(),$K120/1000)</f>
        <v/>
      </c>
    </row>
    <row r="121">
      <c r="A121" s="96">
        <f>IF('Directional Survey'!A95="","",'Directional Survey'!A95)</f>
        <v/>
      </c>
      <c r="B121" s="97">
        <f>IF($A121="","",'Directional Survey'!B95)</f>
        <v/>
      </c>
      <c r="C121" s="96">
        <f>IF(OR($A121="",'Directional Survey'!A96=""),"",'Directional Survey'!A96-$A121)</f>
        <v/>
      </c>
      <c r="D121" s="97">
        <f>IF($C121="","",($B121+'Directional Survey'!B96)/2)</f>
        <v/>
      </c>
      <c r="E121" s="97">
        <f>IF($C121="","",RADIANS('Directional Survey'!B96-$B121))</f>
        <v/>
      </c>
      <c r="F121" s="97">
        <f>IF($C121="","",RADIANS('Directional Survey'!C96-'Directional Survey'!C95))</f>
        <v/>
      </c>
      <c r="G121" s="97">
        <f>IF($C121="","",$B$27*IF(($A121+$A121+$C121)/2&gt;$B$11-$B$17,$B$16,$B$15))</f>
        <v/>
      </c>
      <c r="H121" s="96">
        <f>IF($A121="","",IF($C121="",0,$H122+$G121*$C121*COS(RADIANS($D121))+IF(($A121+$C121/2)&lt;=$B$12,$B$18,$B$19)*SQRT(($H122*$F121*SIN(RADIANS($D121)))^2+($H122*$E121+$G121*$C121*SIN(RADIANS($D121)))^2)))</f>
        <v/>
      </c>
      <c r="I121" s="96">
        <f>IF($A121="","",IF($C121="",-$B$20*1000,$I122+$G121*$C121*COS(RADIANS($D121))-IF(($A121+$C121/2)&lt;=$B$12,$B$18,$B$19)*SQRT(($I122*$F121*SIN(RADIANS($D121)))^2+($I122*$E121+$G121*$C121*SIN(RADIANS($D121)))^2)))</f>
        <v/>
      </c>
      <c r="J121" s="96">
        <f>IF($A121="","",IF($C121="",-$B$20*1000,$J122+$G121*$C121*COS(RADIANS($D121))))</f>
        <v/>
      </c>
      <c r="K121" s="96">
        <f>IF($A121="","",IF($C121="",$B$21,$K122+IF(($A121+$C121/2)&lt;=$B$12,$B$18,$B$19)*SQRT(($J122*$F121*SIN(RADIANS($D121)))^2+($J122*$E121+$G121*$C121*SIN(RADIANS($D121)))^2)*$B$22/24))</f>
        <v/>
      </c>
      <c r="L121" s="96">
        <f>IF($C121="","",2*SQRT($B$26*$B$28*($G121/12)*SIN(RADIANS(MAX($D121,3)))/(IF($A121&lt;=$B$12,$B$14,$B$13)-$B$24)/2))</f>
        <v/>
      </c>
      <c r="M121" s="9">
        <f>IF($C121="","",IF($I121&lt;-1.41*$L121,"HELICAL BUCKLING - CHECK",IF($I121&lt;-$L121,"SINUSOIDAL - MARGINAL","")))</f>
        <v/>
      </c>
      <c r="N121" s="98">
        <f>IF($A121="",NA(),$A121)</f>
        <v/>
      </c>
      <c r="O121" s="98">
        <f>IF($A121="",NA(),$H121/1000)</f>
        <v/>
      </c>
      <c r="P121" s="98">
        <f>IF($A121="",NA(),$I121/1000)</f>
        <v/>
      </c>
      <c r="Q121" s="98">
        <f>IF($A121="",NA(),$J121/1000)</f>
        <v/>
      </c>
      <c r="R121" s="98">
        <f>IF($A121="",NA(),$K121/1000)</f>
        <v/>
      </c>
    </row>
    <row r="122">
      <c r="A122" s="96">
        <f>IF('Directional Survey'!A96="","",'Directional Survey'!A96)</f>
        <v/>
      </c>
      <c r="B122" s="97">
        <f>IF($A122="","",'Directional Survey'!B96)</f>
        <v/>
      </c>
      <c r="C122" s="96">
        <f>IF(OR($A122="",'Directional Survey'!A97=""),"",'Directional Survey'!A97-$A122)</f>
        <v/>
      </c>
      <c r="D122" s="97">
        <f>IF($C122="","",($B122+'Directional Survey'!B97)/2)</f>
        <v/>
      </c>
      <c r="E122" s="97">
        <f>IF($C122="","",RADIANS('Directional Survey'!B97-$B122))</f>
        <v/>
      </c>
      <c r="F122" s="97">
        <f>IF($C122="","",RADIANS('Directional Survey'!C97-'Directional Survey'!C96))</f>
        <v/>
      </c>
      <c r="G122" s="97">
        <f>IF($C122="","",$B$27*IF(($A122+$A122+$C122)/2&gt;$B$11-$B$17,$B$16,$B$15))</f>
        <v/>
      </c>
      <c r="H122" s="96">
        <f>IF($A122="","",IF($C122="",0,$H123+$G122*$C122*COS(RADIANS($D122))+IF(($A122+$C122/2)&lt;=$B$12,$B$18,$B$19)*SQRT(($H123*$F122*SIN(RADIANS($D122)))^2+($H123*$E122+$G122*$C122*SIN(RADIANS($D122)))^2)))</f>
        <v/>
      </c>
      <c r="I122" s="96">
        <f>IF($A122="","",IF($C122="",-$B$20*1000,$I123+$G122*$C122*COS(RADIANS($D122))-IF(($A122+$C122/2)&lt;=$B$12,$B$18,$B$19)*SQRT(($I123*$F122*SIN(RADIANS($D122)))^2+($I123*$E122+$G122*$C122*SIN(RADIANS($D122)))^2)))</f>
        <v/>
      </c>
      <c r="J122" s="96">
        <f>IF($A122="","",IF($C122="",-$B$20*1000,$J123+$G122*$C122*COS(RADIANS($D122))))</f>
        <v/>
      </c>
      <c r="K122" s="96">
        <f>IF($A122="","",IF($C122="",$B$21,$K123+IF(($A122+$C122/2)&lt;=$B$12,$B$18,$B$19)*SQRT(($J123*$F122*SIN(RADIANS($D122)))^2+($J123*$E122+$G122*$C122*SIN(RADIANS($D122)))^2)*$B$22/24))</f>
        <v/>
      </c>
      <c r="L122" s="96">
        <f>IF($C122="","",2*SQRT($B$26*$B$28*($G122/12)*SIN(RADIANS(MAX($D122,3)))/(IF($A122&lt;=$B$12,$B$14,$B$13)-$B$24)/2))</f>
        <v/>
      </c>
      <c r="M122" s="9">
        <f>IF($C122="","",IF($I122&lt;-1.41*$L122,"HELICAL BUCKLING - CHECK",IF($I122&lt;-$L122,"SINUSOIDAL - MARGINAL","")))</f>
        <v/>
      </c>
      <c r="N122" s="98">
        <f>IF($A122="",NA(),$A122)</f>
        <v/>
      </c>
      <c r="O122" s="98">
        <f>IF($A122="",NA(),$H122/1000)</f>
        <v/>
      </c>
      <c r="P122" s="98">
        <f>IF($A122="",NA(),$I122/1000)</f>
        <v/>
      </c>
      <c r="Q122" s="98">
        <f>IF($A122="",NA(),$J122/1000)</f>
        <v/>
      </c>
      <c r="R122" s="98">
        <f>IF($A122="",NA(),$K122/1000)</f>
        <v/>
      </c>
    </row>
    <row r="123">
      <c r="A123" s="96">
        <f>IF('Directional Survey'!A97="","",'Directional Survey'!A97)</f>
        <v/>
      </c>
      <c r="B123" s="97">
        <f>IF($A123="","",'Directional Survey'!B97)</f>
        <v/>
      </c>
      <c r="C123" s="96">
        <f>IF(OR($A123="",'Directional Survey'!A98=""),"",'Directional Survey'!A98-$A123)</f>
        <v/>
      </c>
      <c r="D123" s="97">
        <f>IF($C123="","",($B123+'Directional Survey'!B98)/2)</f>
        <v/>
      </c>
      <c r="E123" s="97">
        <f>IF($C123="","",RADIANS('Directional Survey'!B98-$B123))</f>
        <v/>
      </c>
      <c r="F123" s="97">
        <f>IF($C123="","",RADIANS('Directional Survey'!C98-'Directional Survey'!C97))</f>
        <v/>
      </c>
      <c r="G123" s="97">
        <f>IF($C123="","",$B$27*IF(($A123+$A123+$C123)/2&gt;$B$11-$B$17,$B$16,$B$15))</f>
        <v/>
      </c>
      <c r="H123" s="96">
        <f>IF($A123="","",IF($C123="",0,$H124+$G123*$C123*COS(RADIANS($D123))+IF(($A123+$C123/2)&lt;=$B$12,$B$18,$B$19)*SQRT(($H124*$F123*SIN(RADIANS($D123)))^2+($H124*$E123+$G123*$C123*SIN(RADIANS($D123)))^2)))</f>
        <v/>
      </c>
      <c r="I123" s="96">
        <f>IF($A123="","",IF($C123="",-$B$20*1000,$I124+$G123*$C123*COS(RADIANS($D123))-IF(($A123+$C123/2)&lt;=$B$12,$B$18,$B$19)*SQRT(($I124*$F123*SIN(RADIANS($D123)))^2+($I124*$E123+$G123*$C123*SIN(RADIANS($D123)))^2)))</f>
        <v/>
      </c>
      <c r="J123" s="96">
        <f>IF($A123="","",IF($C123="",-$B$20*1000,$J124+$G123*$C123*COS(RADIANS($D123))))</f>
        <v/>
      </c>
      <c r="K123" s="96">
        <f>IF($A123="","",IF($C123="",$B$21,$K124+IF(($A123+$C123/2)&lt;=$B$12,$B$18,$B$19)*SQRT(($J124*$F123*SIN(RADIANS($D123)))^2+($J124*$E123+$G123*$C123*SIN(RADIANS($D123)))^2)*$B$22/24))</f>
        <v/>
      </c>
      <c r="L123" s="96">
        <f>IF($C123="","",2*SQRT($B$26*$B$28*($G123/12)*SIN(RADIANS(MAX($D123,3)))/(IF($A123&lt;=$B$12,$B$14,$B$13)-$B$24)/2))</f>
        <v/>
      </c>
      <c r="M123" s="9">
        <f>IF($C123="","",IF($I123&lt;-1.41*$L123,"HELICAL BUCKLING - CHECK",IF($I123&lt;-$L123,"SINUSOIDAL - MARGINAL","")))</f>
        <v/>
      </c>
      <c r="N123" s="98">
        <f>IF($A123="",NA(),$A123)</f>
        <v/>
      </c>
      <c r="O123" s="98">
        <f>IF($A123="",NA(),$H123/1000)</f>
        <v/>
      </c>
      <c r="P123" s="98">
        <f>IF($A123="",NA(),$I123/1000)</f>
        <v/>
      </c>
      <c r="Q123" s="98">
        <f>IF($A123="",NA(),$J123/1000)</f>
        <v/>
      </c>
      <c r="R123" s="98">
        <f>IF($A123="",NA(),$K123/1000)</f>
        <v/>
      </c>
    </row>
    <row r="124">
      <c r="A124" s="96">
        <f>IF('Directional Survey'!A98="","",'Directional Survey'!A98)</f>
        <v/>
      </c>
      <c r="B124" s="97">
        <f>IF($A124="","",'Directional Survey'!B98)</f>
        <v/>
      </c>
      <c r="C124" s="96">
        <f>IF(OR($A124="",'Directional Survey'!A99=""),"",'Directional Survey'!A99-$A124)</f>
        <v/>
      </c>
      <c r="D124" s="97">
        <f>IF($C124="","",($B124+'Directional Survey'!B99)/2)</f>
        <v/>
      </c>
      <c r="E124" s="97">
        <f>IF($C124="","",RADIANS('Directional Survey'!B99-$B124))</f>
        <v/>
      </c>
      <c r="F124" s="97">
        <f>IF($C124="","",RADIANS('Directional Survey'!C99-'Directional Survey'!C98))</f>
        <v/>
      </c>
      <c r="G124" s="97">
        <f>IF($C124="","",$B$27*IF(($A124+$A124+$C124)/2&gt;$B$11-$B$17,$B$16,$B$15))</f>
        <v/>
      </c>
      <c r="H124" s="96">
        <f>IF($A124="","",IF($C124="",0,$H125+$G124*$C124*COS(RADIANS($D124))+IF(($A124+$C124/2)&lt;=$B$12,$B$18,$B$19)*SQRT(($H125*$F124*SIN(RADIANS($D124)))^2+($H125*$E124+$G124*$C124*SIN(RADIANS($D124)))^2)))</f>
        <v/>
      </c>
      <c r="I124" s="96">
        <f>IF($A124="","",IF($C124="",-$B$20*1000,$I125+$G124*$C124*COS(RADIANS($D124))-IF(($A124+$C124/2)&lt;=$B$12,$B$18,$B$19)*SQRT(($I125*$F124*SIN(RADIANS($D124)))^2+($I125*$E124+$G124*$C124*SIN(RADIANS($D124)))^2)))</f>
        <v/>
      </c>
      <c r="J124" s="96">
        <f>IF($A124="","",IF($C124="",-$B$20*1000,$J125+$G124*$C124*COS(RADIANS($D124))))</f>
        <v/>
      </c>
      <c r="K124" s="96">
        <f>IF($A124="","",IF($C124="",$B$21,$K125+IF(($A124+$C124/2)&lt;=$B$12,$B$18,$B$19)*SQRT(($J125*$F124*SIN(RADIANS($D124)))^2+($J125*$E124+$G124*$C124*SIN(RADIANS($D124)))^2)*$B$22/24))</f>
        <v/>
      </c>
      <c r="L124" s="96">
        <f>IF($C124="","",2*SQRT($B$26*$B$28*($G124/12)*SIN(RADIANS(MAX($D124,3)))/(IF($A124&lt;=$B$12,$B$14,$B$13)-$B$24)/2))</f>
        <v/>
      </c>
      <c r="M124" s="9">
        <f>IF($C124="","",IF($I124&lt;-1.41*$L124,"HELICAL BUCKLING - CHECK",IF($I124&lt;-$L124,"SINUSOIDAL - MARGINAL","")))</f>
        <v/>
      </c>
      <c r="N124" s="98">
        <f>IF($A124="",NA(),$A124)</f>
        <v/>
      </c>
      <c r="O124" s="98">
        <f>IF($A124="",NA(),$H124/1000)</f>
        <v/>
      </c>
      <c r="P124" s="98">
        <f>IF($A124="",NA(),$I124/1000)</f>
        <v/>
      </c>
      <c r="Q124" s="98">
        <f>IF($A124="",NA(),$J124/1000)</f>
        <v/>
      </c>
      <c r="R124" s="98">
        <f>IF($A124="",NA(),$K124/1000)</f>
        <v/>
      </c>
    </row>
    <row r="125">
      <c r="A125" s="96">
        <f>IF('Directional Survey'!A99="","",'Directional Survey'!A99)</f>
        <v/>
      </c>
      <c r="B125" s="97">
        <f>IF($A125="","",'Directional Survey'!B99)</f>
        <v/>
      </c>
      <c r="C125" s="96">
        <f>IF(OR($A125="",'Directional Survey'!A100=""),"",'Directional Survey'!A100-$A125)</f>
        <v/>
      </c>
      <c r="D125" s="97">
        <f>IF($C125="","",($B125+'Directional Survey'!B100)/2)</f>
        <v/>
      </c>
      <c r="E125" s="97">
        <f>IF($C125="","",RADIANS('Directional Survey'!B100-$B125))</f>
        <v/>
      </c>
      <c r="F125" s="97">
        <f>IF($C125="","",RADIANS('Directional Survey'!C100-'Directional Survey'!C99))</f>
        <v/>
      </c>
      <c r="G125" s="97">
        <f>IF($C125="","",$B$27*IF(($A125+$A125+$C125)/2&gt;$B$11-$B$17,$B$16,$B$15))</f>
        <v/>
      </c>
      <c r="H125" s="96">
        <f>IF($A125="","",IF($C125="",0,$H126+$G125*$C125*COS(RADIANS($D125))+IF(($A125+$C125/2)&lt;=$B$12,$B$18,$B$19)*SQRT(($H126*$F125*SIN(RADIANS($D125)))^2+($H126*$E125+$G125*$C125*SIN(RADIANS($D125)))^2)))</f>
        <v/>
      </c>
      <c r="I125" s="96">
        <f>IF($A125="","",IF($C125="",-$B$20*1000,$I126+$G125*$C125*COS(RADIANS($D125))-IF(($A125+$C125/2)&lt;=$B$12,$B$18,$B$19)*SQRT(($I126*$F125*SIN(RADIANS($D125)))^2+($I126*$E125+$G125*$C125*SIN(RADIANS($D125)))^2)))</f>
        <v/>
      </c>
      <c r="J125" s="96">
        <f>IF($A125="","",IF($C125="",-$B$20*1000,$J126+$G125*$C125*COS(RADIANS($D125))))</f>
        <v/>
      </c>
      <c r="K125" s="96">
        <f>IF($A125="","",IF($C125="",$B$21,$K126+IF(($A125+$C125/2)&lt;=$B$12,$B$18,$B$19)*SQRT(($J126*$F125*SIN(RADIANS($D125)))^2+($J126*$E125+$G125*$C125*SIN(RADIANS($D125)))^2)*$B$22/24))</f>
        <v/>
      </c>
      <c r="L125" s="96">
        <f>IF($C125="","",2*SQRT($B$26*$B$28*($G125/12)*SIN(RADIANS(MAX($D125,3)))/(IF($A125&lt;=$B$12,$B$14,$B$13)-$B$24)/2))</f>
        <v/>
      </c>
      <c r="M125" s="9">
        <f>IF($C125="","",IF($I125&lt;-1.41*$L125,"HELICAL BUCKLING - CHECK",IF($I125&lt;-$L125,"SINUSOIDAL - MARGINAL","")))</f>
        <v/>
      </c>
      <c r="N125" s="98">
        <f>IF($A125="",NA(),$A125)</f>
        <v/>
      </c>
      <c r="O125" s="98">
        <f>IF($A125="",NA(),$H125/1000)</f>
        <v/>
      </c>
      <c r="P125" s="98">
        <f>IF($A125="",NA(),$I125/1000)</f>
        <v/>
      </c>
      <c r="Q125" s="98">
        <f>IF($A125="",NA(),$J125/1000)</f>
        <v/>
      </c>
      <c r="R125" s="98">
        <f>IF($A125="",NA(),$K125/1000)</f>
        <v/>
      </c>
    </row>
    <row r="126">
      <c r="A126" s="96">
        <f>IF('Directional Survey'!A100="","",'Directional Survey'!A100)</f>
        <v/>
      </c>
      <c r="B126" s="97">
        <f>IF($A126="","",'Directional Survey'!B100)</f>
        <v/>
      </c>
      <c r="C126" s="96">
        <f>IF(OR($A126="",'Directional Survey'!A101=""),"",'Directional Survey'!A101-$A126)</f>
        <v/>
      </c>
      <c r="D126" s="97">
        <f>IF($C126="","",($B126+'Directional Survey'!B101)/2)</f>
        <v/>
      </c>
      <c r="E126" s="97">
        <f>IF($C126="","",RADIANS('Directional Survey'!B101-$B126))</f>
        <v/>
      </c>
      <c r="F126" s="97">
        <f>IF($C126="","",RADIANS('Directional Survey'!C101-'Directional Survey'!C100))</f>
        <v/>
      </c>
      <c r="G126" s="97">
        <f>IF($C126="","",$B$27*IF(($A126+$A126+$C126)/2&gt;$B$11-$B$17,$B$16,$B$15))</f>
        <v/>
      </c>
      <c r="H126" s="96">
        <f>IF($A126="","",IF($C126="",0,$H127+$G126*$C126*COS(RADIANS($D126))+IF(($A126+$C126/2)&lt;=$B$12,$B$18,$B$19)*SQRT(($H127*$F126*SIN(RADIANS($D126)))^2+($H127*$E126+$G126*$C126*SIN(RADIANS($D126)))^2)))</f>
        <v/>
      </c>
      <c r="I126" s="96">
        <f>IF($A126="","",IF($C126="",-$B$20*1000,$I127+$G126*$C126*COS(RADIANS($D126))-IF(($A126+$C126/2)&lt;=$B$12,$B$18,$B$19)*SQRT(($I127*$F126*SIN(RADIANS($D126)))^2+($I127*$E126+$G126*$C126*SIN(RADIANS($D126)))^2)))</f>
        <v/>
      </c>
      <c r="J126" s="96">
        <f>IF($A126="","",IF($C126="",-$B$20*1000,$J127+$G126*$C126*COS(RADIANS($D126))))</f>
        <v/>
      </c>
      <c r="K126" s="96">
        <f>IF($A126="","",IF($C126="",$B$21,$K127+IF(($A126+$C126/2)&lt;=$B$12,$B$18,$B$19)*SQRT(($J127*$F126*SIN(RADIANS($D126)))^2+($J127*$E126+$G126*$C126*SIN(RADIANS($D126)))^2)*$B$22/24))</f>
        <v/>
      </c>
      <c r="L126" s="96">
        <f>IF($C126="","",2*SQRT($B$26*$B$28*($G126/12)*SIN(RADIANS(MAX($D126,3)))/(IF($A126&lt;=$B$12,$B$14,$B$13)-$B$24)/2))</f>
        <v/>
      </c>
      <c r="M126" s="9">
        <f>IF($C126="","",IF($I126&lt;-1.41*$L126,"HELICAL BUCKLING - CHECK",IF($I126&lt;-$L126,"SINUSOIDAL - MARGINAL","")))</f>
        <v/>
      </c>
      <c r="N126" s="98">
        <f>IF($A126="",NA(),$A126)</f>
        <v/>
      </c>
      <c r="O126" s="98">
        <f>IF($A126="",NA(),$H126/1000)</f>
        <v/>
      </c>
      <c r="P126" s="98">
        <f>IF($A126="",NA(),$I126/1000)</f>
        <v/>
      </c>
      <c r="Q126" s="98">
        <f>IF($A126="",NA(),$J126/1000)</f>
        <v/>
      </c>
      <c r="R126" s="98">
        <f>IF($A126="",NA(),$K126/1000)</f>
        <v/>
      </c>
    </row>
    <row r="127">
      <c r="A127" s="96">
        <f>IF('Directional Survey'!A101="","",'Directional Survey'!A101)</f>
        <v/>
      </c>
      <c r="B127" s="97">
        <f>IF($A127="","",'Directional Survey'!B101)</f>
        <v/>
      </c>
      <c r="C127" s="96">
        <f>IF(OR($A127="",'Directional Survey'!A102=""),"",'Directional Survey'!A102-$A127)</f>
        <v/>
      </c>
      <c r="D127" s="97">
        <f>IF($C127="","",($B127+'Directional Survey'!B102)/2)</f>
        <v/>
      </c>
      <c r="E127" s="97">
        <f>IF($C127="","",RADIANS('Directional Survey'!B102-$B127))</f>
        <v/>
      </c>
      <c r="F127" s="97">
        <f>IF($C127="","",RADIANS('Directional Survey'!C102-'Directional Survey'!C101))</f>
        <v/>
      </c>
      <c r="G127" s="97">
        <f>IF($C127="","",$B$27*IF(($A127+$A127+$C127)/2&gt;$B$11-$B$17,$B$16,$B$15))</f>
        <v/>
      </c>
      <c r="H127" s="96">
        <f>IF($A127="","",IF($C127="",0,$H128+$G127*$C127*COS(RADIANS($D127))+IF(($A127+$C127/2)&lt;=$B$12,$B$18,$B$19)*SQRT(($H128*$F127*SIN(RADIANS($D127)))^2+($H128*$E127+$G127*$C127*SIN(RADIANS($D127)))^2)))</f>
        <v/>
      </c>
      <c r="I127" s="96">
        <f>IF($A127="","",IF($C127="",-$B$20*1000,$I128+$G127*$C127*COS(RADIANS($D127))-IF(($A127+$C127/2)&lt;=$B$12,$B$18,$B$19)*SQRT(($I128*$F127*SIN(RADIANS($D127)))^2+($I128*$E127+$G127*$C127*SIN(RADIANS($D127)))^2)))</f>
        <v/>
      </c>
      <c r="J127" s="96">
        <f>IF($A127="","",IF($C127="",-$B$20*1000,$J128+$G127*$C127*COS(RADIANS($D127))))</f>
        <v/>
      </c>
      <c r="K127" s="96">
        <f>IF($A127="","",IF($C127="",$B$21,$K128+IF(($A127+$C127/2)&lt;=$B$12,$B$18,$B$19)*SQRT(($J128*$F127*SIN(RADIANS($D127)))^2+($J128*$E127+$G127*$C127*SIN(RADIANS($D127)))^2)*$B$22/24))</f>
        <v/>
      </c>
      <c r="L127" s="96">
        <f>IF($C127="","",2*SQRT($B$26*$B$28*($G127/12)*SIN(RADIANS(MAX($D127,3)))/(IF($A127&lt;=$B$12,$B$14,$B$13)-$B$24)/2))</f>
        <v/>
      </c>
      <c r="M127" s="9">
        <f>IF($C127="","",IF($I127&lt;-1.41*$L127,"HELICAL BUCKLING - CHECK",IF($I127&lt;-$L127,"SINUSOIDAL - MARGINAL","")))</f>
        <v/>
      </c>
      <c r="N127" s="98">
        <f>IF($A127="",NA(),$A127)</f>
        <v/>
      </c>
      <c r="O127" s="98">
        <f>IF($A127="",NA(),$H127/1000)</f>
        <v/>
      </c>
      <c r="P127" s="98">
        <f>IF($A127="",NA(),$I127/1000)</f>
        <v/>
      </c>
      <c r="Q127" s="98">
        <f>IF($A127="",NA(),$J127/1000)</f>
        <v/>
      </c>
      <c r="R127" s="98">
        <f>IF($A127="",NA(),$K127/1000)</f>
        <v/>
      </c>
    </row>
    <row r="128">
      <c r="A128" s="96">
        <f>IF('Directional Survey'!A102="","",'Directional Survey'!A102)</f>
        <v/>
      </c>
      <c r="B128" s="97">
        <f>IF($A128="","",'Directional Survey'!B102)</f>
        <v/>
      </c>
      <c r="C128" s="96">
        <f>IF(OR($A128="",'Directional Survey'!A103=""),"",'Directional Survey'!A103-$A128)</f>
        <v/>
      </c>
      <c r="D128" s="97">
        <f>IF($C128="","",($B128+'Directional Survey'!B103)/2)</f>
        <v/>
      </c>
      <c r="E128" s="97">
        <f>IF($C128="","",RADIANS('Directional Survey'!B103-$B128))</f>
        <v/>
      </c>
      <c r="F128" s="97">
        <f>IF($C128="","",RADIANS('Directional Survey'!C103-'Directional Survey'!C102))</f>
        <v/>
      </c>
      <c r="G128" s="97">
        <f>IF($C128="","",$B$27*IF(($A128+$A128+$C128)/2&gt;$B$11-$B$17,$B$16,$B$15))</f>
        <v/>
      </c>
      <c r="H128" s="96">
        <f>IF($A128="","",IF($C128="",0,$H129+$G128*$C128*COS(RADIANS($D128))+IF(($A128+$C128/2)&lt;=$B$12,$B$18,$B$19)*SQRT(($H129*$F128*SIN(RADIANS($D128)))^2+($H129*$E128+$G128*$C128*SIN(RADIANS($D128)))^2)))</f>
        <v/>
      </c>
      <c r="I128" s="96">
        <f>IF($A128="","",IF($C128="",-$B$20*1000,$I129+$G128*$C128*COS(RADIANS($D128))-IF(($A128+$C128/2)&lt;=$B$12,$B$18,$B$19)*SQRT(($I129*$F128*SIN(RADIANS($D128)))^2+($I129*$E128+$G128*$C128*SIN(RADIANS($D128)))^2)))</f>
        <v/>
      </c>
      <c r="J128" s="96">
        <f>IF($A128="","",IF($C128="",-$B$20*1000,$J129+$G128*$C128*COS(RADIANS($D128))))</f>
        <v/>
      </c>
      <c r="K128" s="96">
        <f>IF($A128="","",IF($C128="",$B$21,$K129+IF(($A128+$C128/2)&lt;=$B$12,$B$18,$B$19)*SQRT(($J129*$F128*SIN(RADIANS($D128)))^2+($J129*$E128+$G128*$C128*SIN(RADIANS($D128)))^2)*$B$22/24))</f>
        <v/>
      </c>
      <c r="L128" s="96">
        <f>IF($C128="","",2*SQRT($B$26*$B$28*($G128/12)*SIN(RADIANS(MAX($D128,3)))/(IF($A128&lt;=$B$12,$B$14,$B$13)-$B$24)/2))</f>
        <v/>
      </c>
      <c r="M128" s="9">
        <f>IF($C128="","",IF($I128&lt;-1.41*$L128,"HELICAL BUCKLING - CHECK",IF($I128&lt;-$L128,"SINUSOIDAL - MARGINAL","")))</f>
        <v/>
      </c>
      <c r="N128" s="98">
        <f>IF($A128="",NA(),$A128)</f>
        <v/>
      </c>
      <c r="O128" s="98">
        <f>IF($A128="",NA(),$H128/1000)</f>
        <v/>
      </c>
      <c r="P128" s="98">
        <f>IF($A128="",NA(),$I128/1000)</f>
        <v/>
      </c>
      <c r="Q128" s="98">
        <f>IF($A128="",NA(),$J128/1000)</f>
        <v/>
      </c>
      <c r="R128" s="98">
        <f>IF($A128="",NA(),$K128/1000)</f>
        <v/>
      </c>
    </row>
    <row r="129">
      <c r="A129" s="96">
        <f>IF('Directional Survey'!A103="","",'Directional Survey'!A103)</f>
        <v/>
      </c>
      <c r="B129" s="97">
        <f>IF($A129="","",'Directional Survey'!B103)</f>
        <v/>
      </c>
      <c r="C129" s="96">
        <f>IF(OR($A129="",'Directional Survey'!A104=""),"",'Directional Survey'!A104-$A129)</f>
        <v/>
      </c>
      <c r="D129" s="97">
        <f>IF($C129="","",($B129+'Directional Survey'!B104)/2)</f>
        <v/>
      </c>
      <c r="E129" s="97">
        <f>IF($C129="","",RADIANS('Directional Survey'!B104-$B129))</f>
        <v/>
      </c>
      <c r="F129" s="97">
        <f>IF($C129="","",RADIANS('Directional Survey'!C104-'Directional Survey'!C103))</f>
        <v/>
      </c>
      <c r="G129" s="97">
        <f>IF($C129="","",$B$27*IF(($A129+$A129+$C129)/2&gt;$B$11-$B$17,$B$16,$B$15))</f>
        <v/>
      </c>
      <c r="H129" s="96">
        <f>IF($A129="","",IF($C129="",0,$H130+$G129*$C129*COS(RADIANS($D129))+IF(($A129+$C129/2)&lt;=$B$12,$B$18,$B$19)*SQRT(($H130*$F129*SIN(RADIANS($D129)))^2+($H130*$E129+$G129*$C129*SIN(RADIANS($D129)))^2)))</f>
        <v/>
      </c>
      <c r="I129" s="96">
        <f>IF($A129="","",IF($C129="",-$B$20*1000,$I130+$G129*$C129*COS(RADIANS($D129))-IF(($A129+$C129/2)&lt;=$B$12,$B$18,$B$19)*SQRT(($I130*$F129*SIN(RADIANS($D129)))^2+($I130*$E129+$G129*$C129*SIN(RADIANS($D129)))^2)))</f>
        <v/>
      </c>
      <c r="J129" s="96">
        <f>IF($A129="","",IF($C129="",-$B$20*1000,$J130+$G129*$C129*COS(RADIANS($D129))))</f>
        <v/>
      </c>
      <c r="K129" s="96">
        <f>IF($A129="","",IF($C129="",$B$21,$K130+IF(($A129+$C129/2)&lt;=$B$12,$B$18,$B$19)*SQRT(($J130*$F129*SIN(RADIANS($D129)))^2+($J130*$E129+$G129*$C129*SIN(RADIANS($D129)))^2)*$B$22/24))</f>
        <v/>
      </c>
      <c r="L129" s="96">
        <f>IF($C129="","",2*SQRT($B$26*$B$28*($G129/12)*SIN(RADIANS(MAX($D129,3)))/(IF($A129&lt;=$B$12,$B$14,$B$13)-$B$24)/2))</f>
        <v/>
      </c>
      <c r="M129" s="9">
        <f>IF($C129="","",IF($I129&lt;-1.41*$L129,"HELICAL BUCKLING - CHECK",IF($I129&lt;-$L129,"SINUSOIDAL - MARGINAL","")))</f>
        <v/>
      </c>
      <c r="N129" s="98">
        <f>IF($A129="",NA(),$A129)</f>
        <v/>
      </c>
      <c r="O129" s="98">
        <f>IF($A129="",NA(),$H129/1000)</f>
        <v/>
      </c>
      <c r="P129" s="98">
        <f>IF($A129="",NA(),$I129/1000)</f>
        <v/>
      </c>
      <c r="Q129" s="98">
        <f>IF($A129="",NA(),$J129/1000)</f>
        <v/>
      </c>
      <c r="R129" s="98">
        <f>IF($A129="",NA(),$K129/1000)</f>
        <v/>
      </c>
    </row>
    <row r="130">
      <c r="A130" s="96">
        <f>IF('Directional Survey'!A104="","",'Directional Survey'!A104)</f>
        <v/>
      </c>
      <c r="B130" s="97">
        <f>IF($A130="","",'Directional Survey'!B104)</f>
        <v/>
      </c>
      <c r="C130" s="96">
        <f>IF(OR($A130="",'Directional Survey'!A105=""),"",'Directional Survey'!A105-$A130)</f>
        <v/>
      </c>
      <c r="D130" s="97">
        <f>IF($C130="","",($B130+'Directional Survey'!B105)/2)</f>
        <v/>
      </c>
      <c r="E130" s="97">
        <f>IF($C130="","",RADIANS('Directional Survey'!B105-$B130))</f>
        <v/>
      </c>
      <c r="F130" s="97">
        <f>IF($C130="","",RADIANS('Directional Survey'!C105-'Directional Survey'!C104))</f>
        <v/>
      </c>
      <c r="G130" s="97">
        <f>IF($C130="","",$B$27*IF(($A130+$A130+$C130)/2&gt;$B$11-$B$17,$B$16,$B$15))</f>
        <v/>
      </c>
      <c r="H130" s="96">
        <f>IF($A130="","",IF($C130="",0,$H131+$G130*$C130*COS(RADIANS($D130))+IF(($A130+$C130/2)&lt;=$B$12,$B$18,$B$19)*SQRT(($H131*$F130*SIN(RADIANS($D130)))^2+($H131*$E130+$G130*$C130*SIN(RADIANS($D130)))^2)))</f>
        <v/>
      </c>
      <c r="I130" s="96">
        <f>IF($A130="","",IF($C130="",-$B$20*1000,$I131+$G130*$C130*COS(RADIANS($D130))-IF(($A130+$C130/2)&lt;=$B$12,$B$18,$B$19)*SQRT(($I131*$F130*SIN(RADIANS($D130)))^2+($I131*$E130+$G130*$C130*SIN(RADIANS($D130)))^2)))</f>
        <v/>
      </c>
      <c r="J130" s="96">
        <f>IF($A130="","",IF($C130="",-$B$20*1000,$J131+$G130*$C130*COS(RADIANS($D130))))</f>
        <v/>
      </c>
      <c r="K130" s="96">
        <f>IF($A130="","",IF($C130="",$B$21,$K131+IF(($A130+$C130/2)&lt;=$B$12,$B$18,$B$19)*SQRT(($J131*$F130*SIN(RADIANS($D130)))^2+($J131*$E130+$G130*$C130*SIN(RADIANS($D130)))^2)*$B$22/24))</f>
        <v/>
      </c>
      <c r="L130" s="96">
        <f>IF($C130="","",2*SQRT($B$26*$B$28*($G130/12)*SIN(RADIANS(MAX($D130,3)))/(IF($A130&lt;=$B$12,$B$14,$B$13)-$B$24)/2))</f>
        <v/>
      </c>
      <c r="M130" s="9">
        <f>IF($C130="","",IF($I130&lt;-1.41*$L130,"HELICAL BUCKLING - CHECK",IF($I130&lt;-$L130,"SINUSOIDAL - MARGINAL","")))</f>
        <v/>
      </c>
      <c r="N130" s="98">
        <f>IF($A130="",NA(),$A130)</f>
        <v/>
      </c>
      <c r="O130" s="98">
        <f>IF($A130="",NA(),$H130/1000)</f>
        <v/>
      </c>
      <c r="P130" s="98">
        <f>IF($A130="",NA(),$I130/1000)</f>
        <v/>
      </c>
      <c r="Q130" s="98">
        <f>IF($A130="",NA(),$J130/1000)</f>
        <v/>
      </c>
      <c r="R130" s="98">
        <f>IF($A130="",NA(),$K130/1000)</f>
        <v/>
      </c>
    </row>
    <row r="131">
      <c r="A131" s="96">
        <f>IF('Directional Survey'!A105="","",'Directional Survey'!A105)</f>
        <v/>
      </c>
      <c r="B131" s="97">
        <f>IF($A131="","",'Directional Survey'!B105)</f>
        <v/>
      </c>
      <c r="C131" s="96">
        <f>IF(OR($A131="",'Directional Survey'!A106=""),"",'Directional Survey'!A106-$A131)</f>
        <v/>
      </c>
      <c r="D131" s="97">
        <f>IF($C131="","",($B131+'Directional Survey'!B106)/2)</f>
        <v/>
      </c>
      <c r="E131" s="97">
        <f>IF($C131="","",RADIANS('Directional Survey'!B106-$B131))</f>
        <v/>
      </c>
      <c r="F131" s="97">
        <f>IF($C131="","",RADIANS('Directional Survey'!C106-'Directional Survey'!C105))</f>
        <v/>
      </c>
      <c r="G131" s="97">
        <f>IF($C131="","",$B$27*IF(($A131+$A131+$C131)/2&gt;$B$11-$B$17,$B$16,$B$15))</f>
        <v/>
      </c>
      <c r="H131" s="96">
        <f>IF($A131="","",IF($C131="",0,$H132+$G131*$C131*COS(RADIANS($D131))+IF(($A131+$C131/2)&lt;=$B$12,$B$18,$B$19)*SQRT(($H132*$F131*SIN(RADIANS($D131)))^2+($H132*$E131+$G131*$C131*SIN(RADIANS($D131)))^2)))</f>
        <v/>
      </c>
      <c r="I131" s="96">
        <f>IF($A131="","",IF($C131="",-$B$20*1000,$I132+$G131*$C131*COS(RADIANS($D131))-IF(($A131+$C131/2)&lt;=$B$12,$B$18,$B$19)*SQRT(($I132*$F131*SIN(RADIANS($D131)))^2+($I132*$E131+$G131*$C131*SIN(RADIANS($D131)))^2)))</f>
        <v/>
      </c>
      <c r="J131" s="96">
        <f>IF($A131="","",IF($C131="",-$B$20*1000,$J132+$G131*$C131*COS(RADIANS($D131))))</f>
        <v/>
      </c>
      <c r="K131" s="96">
        <f>IF($A131="","",IF($C131="",$B$21,$K132+IF(($A131+$C131/2)&lt;=$B$12,$B$18,$B$19)*SQRT(($J132*$F131*SIN(RADIANS($D131)))^2+($J132*$E131+$G131*$C131*SIN(RADIANS($D131)))^2)*$B$22/24))</f>
        <v/>
      </c>
      <c r="L131" s="96">
        <f>IF($C131="","",2*SQRT($B$26*$B$28*($G131/12)*SIN(RADIANS(MAX($D131,3)))/(IF($A131&lt;=$B$12,$B$14,$B$13)-$B$24)/2))</f>
        <v/>
      </c>
      <c r="M131" s="9">
        <f>IF($C131="","",IF($I131&lt;-1.41*$L131,"HELICAL BUCKLING - CHECK",IF($I131&lt;-$L131,"SINUSOIDAL - MARGINAL","")))</f>
        <v/>
      </c>
      <c r="N131" s="98">
        <f>IF($A131="",NA(),$A131)</f>
        <v/>
      </c>
      <c r="O131" s="98">
        <f>IF($A131="",NA(),$H131/1000)</f>
        <v/>
      </c>
      <c r="P131" s="98">
        <f>IF($A131="",NA(),$I131/1000)</f>
        <v/>
      </c>
      <c r="Q131" s="98">
        <f>IF($A131="",NA(),$J131/1000)</f>
        <v/>
      </c>
      <c r="R131" s="98">
        <f>IF($A131="",NA(),$K131/1000)</f>
        <v/>
      </c>
    </row>
    <row r="132">
      <c r="A132" s="96">
        <f>IF('Directional Survey'!A106="","",'Directional Survey'!A106)</f>
        <v/>
      </c>
      <c r="B132" s="97">
        <f>IF($A132="","",'Directional Survey'!B106)</f>
        <v/>
      </c>
      <c r="C132" s="96">
        <f>""</f>
        <v/>
      </c>
      <c r="D132" s="97" t="n"/>
      <c r="E132" s="97" t="n"/>
      <c r="F132" s="97" t="n"/>
      <c r="G132" s="97">
        <f>IF($C132="","",$B$27*IF(($A132+$A132+$C132)/2&gt;$B$11-$B$17,$B$16,$B$15))</f>
        <v/>
      </c>
      <c r="H132" s="96">
        <f>IF($A132="","",IF($C132="",0,$H133+$G132*$C132*COS(RADIANS($D132))+IF(($A132+$C132/2)&lt;=$B$12,$B$18,$B$19)*SQRT(($H133*$F132*SIN(RADIANS($D132)))^2+($H133*$E132+$G132*$C132*SIN(RADIANS($D132)))^2)))</f>
        <v/>
      </c>
      <c r="I132" s="96">
        <f>IF($A132="","",IF($C132="",-$B$20*1000,$I133+$G132*$C132*COS(RADIANS($D132))-IF(($A132+$C132/2)&lt;=$B$12,$B$18,$B$19)*SQRT(($I133*$F132*SIN(RADIANS($D132)))^2+($I133*$E132+$G132*$C132*SIN(RADIANS($D132)))^2)))</f>
        <v/>
      </c>
      <c r="J132" s="96">
        <f>IF($A132="","",IF($C132="",-$B$20*1000,$J133+$G132*$C132*COS(RADIANS($D132))))</f>
        <v/>
      </c>
      <c r="K132" s="96">
        <f>IF($A132="","",IF($C132="",$B$21,$K133+IF(($A132+$C132/2)&lt;=$B$12,$B$18,$B$19)*SQRT(($J133*$F132*SIN(RADIANS($D132)))^2+($J133*$E132+$G132*$C132*SIN(RADIANS($D132)))^2)*$B$22/24))</f>
        <v/>
      </c>
      <c r="L132" s="96">
        <f>IF($C132="","",2*SQRT($B$26*$B$28*($G132/12)*SIN(RADIANS(MAX($D132,3)))/(IF($A132&lt;=$B$12,$B$14,$B$13)-$B$24)/2))</f>
        <v/>
      </c>
      <c r="M132" s="9">
        <f>IF($C132="","",IF($I132&lt;-1.41*$L132,"HELICAL BUCKLING - CHECK",IF($I132&lt;-$L132,"SINUSOIDAL - MARGINAL","")))</f>
        <v/>
      </c>
      <c r="N132" s="98">
        <f>IF($A132="",NA(),$A132)</f>
        <v/>
      </c>
      <c r="O132" s="98">
        <f>IF($A132="",NA(),$H132/1000)</f>
        <v/>
      </c>
      <c r="P132" s="98">
        <f>IF($A132="",NA(),$I132/1000)</f>
        <v/>
      </c>
      <c r="Q132" s="98">
        <f>IF($A132="",NA(),$J132/1000)</f>
        <v/>
      </c>
      <c r="R132" s="98">
        <f>IF($A132="",NA(),$K132/1000)</f>
        <v/>
      </c>
    </row>
    <row r="134" ht="20" customHeight="1">
      <c r="A134" s="23" t="inlineStr">
        <is>
          <t>Surface Results</t>
        </is>
      </c>
      <c r="B134" s="24" t="n"/>
      <c r="C134" s="24" t="n"/>
      <c r="D134" s="24" t="n"/>
      <c r="E134" s="24" t="n"/>
      <c r="F134" s="24" t="n"/>
    </row>
    <row r="136">
      <c r="A136" s="25" t="inlineStr">
        <is>
          <t>Hookloads &amp; Torque</t>
        </is>
      </c>
      <c r="B136" s="26" t="n"/>
      <c r="C136" s="26" t="n"/>
      <c r="D136" s="26" t="n"/>
      <c r="E136" s="26" t="n"/>
      <c r="F136" s="49" t="inlineStr">
        <is>
          <t>Hookload = string tension at surface + block weight</t>
        </is>
      </c>
    </row>
    <row r="137">
      <c r="A137" t="inlineStr"/>
      <c r="F137" s="27" t="inlineStr">
        <is>
          <t>Compare against measured pick-up/slack-off to calibrate friction factors. Overpull margin vs pipe yield is on the Drill String sheet.</t>
        </is>
      </c>
    </row>
    <row r="138">
      <c r="A138" s="28" t="inlineStr">
        <is>
          <t>Pick-up hookload</t>
        </is>
      </c>
      <c r="B138" s="54">
        <f>$H$33/1000+$B$23</f>
        <v/>
      </c>
      <c r="C138" s="30" t="inlineStr">
        <is>
          <t>klbf</t>
        </is>
      </c>
      <c r="D138" s="40">
        <f>IFERROR($B$138*4.448222,NA())</f>
        <v/>
      </c>
      <c r="E138" s="30" t="inlineStr">
        <is>
          <t>kN</t>
        </is>
      </c>
    </row>
    <row r="139">
      <c r="A139" s="28" t="inlineStr">
        <is>
          <t>Slack-off hookload</t>
        </is>
      </c>
      <c r="B139" s="54">
        <f>$I$33/1000+$B$23</f>
        <v/>
      </c>
      <c r="C139" s="30" t="inlineStr">
        <is>
          <t>klbf</t>
        </is>
      </c>
      <c r="D139" s="40">
        <f>IFERROR($B$139*4.448222,NA())</f>
        <v/>
      </c>
      <c r="E139" s="30" t="inlineStr">
        <is>
          <t>kN</t>
        </is>
      </c>
    </row>
    <row r="140">
      <c r="A140" s="28" t="inlineStr">
        <is>
          <t>Rotating on-bottom hookload</t>
        </is>
      </c>
      <c r="B140" s="54">
        <f>$J$33/1000+$B$23</f>
        <v/>
      </c>
      <c r="C140" s="30" t="inlineStr">
        <is>
          <t>klbf</t>
        </is>
      </c>
      <c r="D140" s="40">
        <f>IFERROR($B$140*4.448222,NA())</f>
        <v/>
      </c>
      <c r="E140" s="30" t="inlineStr">
        <is>
          <t>kN</t>
        </is>
      </c>
      <c r="F140" s="27" t="inlineStr">
        <is>
          <t>Rotating case carries WOB at the bit; set WOB to 0 on Well Data for rotating off-bottom.</t>
        </is>
      </c>
    </row>
    <row r="141">
      <c r="A141" s="28" t="inlineStr">
        <is>
          <t>Surface torque (rotating)</t>
        </is>
      </c>
      <c r="B141" s="59">
        <f>$K$33</f>
        <v/>
      </c>
      <c r="C141" s="30" t="inlineStr">
        <is>
          <t>ft-lbf</t>
        </is>
      </c>
      <c r="D141" s="32">
        <f>IFERROR($B$141*1.355818,NA())</f>
        <v/>
      </c>
      <c r="E141" s="30" t="inlineStr">
        <is>
          <t>N-m</t>
        </is>
      </c>
    </row>
    <row r="142">
      <c r="A142" s="28" t="inlineStr">
        <is>
          <t>Buckling anywhere in string</t>
        </is>
      </c>
      <c r="B142" s="72">
        <f>IF(COUNTIF($M$33:$M$132,"*BUCKLING*")&gt;0,"CHECK: helical buckling flagged - reduce WOB or add HWDP",IF(COUNTIF($M$33:$M$132,"*SINUSOIDAL*")&gt;0,"MARGINAL - sinusoidal buckling flagged","OK - no buckling flags"))</f>
        <v/>
      </c>
      <c r="C142" s="30" t="inlineStr"/>
    </row>
  </sheetData>
  <sheetProtection selectLockedCells="0" selectUnlockedCells="0" sheet="1" objects="0" insertRows="1" insertHyperlinks="1" autoFilter="1" scenarios="0" formatColumns="0" deleteColumns="1" insertColumns="1" pivotTables="1" deleteRows="1" formatCells="1" formatRows="0" sort="1"/>
  <mergeCells count="6">
    <mergeCell ref="A2:F2"/>
    <mergeCell ref="A1:F1"/>
    <mergeCell ref="A31:F31"/>
    <mergeCell ref="A6:F6"/>
    <mergeCell ref="A30:F30"/>
    <mergeCell ref="A134:F134"/>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tabColor rgb="002E75B6"/>
    <outlinePr summaryBelow="1" summaryRight="1"/>
    <pageSetUpPr/>
  </sheetPr>
  <dimension ref="A1:F63"/>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Hole Cleaning - High-Angle Wells</t>
        </is>
      </c>
      <c r="B1" s="2" t="n"/>
      <c r="C1" s="2" t="n"/>
      <c r="D1" s="2" t="n"/>
      <c r="E1" s="2" t="n"/>
      <c r="F1" s="2" t="n"/>
    </row>
    <row r="2">
      <c r="A2" s="20" t="inlineStr">
        <is>
          <t>Annular velocity, carrying capacity index, angle-band minimum flow, slip velocity, transport ratio and cuttings concentration</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Annular Velocity &amp; Flow</t>
        </is>
      </c>
      <c r="B6" s="24" t="n"/>
      <c r="C6" s="24" t="n"/>
      <c r="D6" s="24" t="n"/>
      <c r="E6" s="24" t="n"/>
      <c r="F6" s="24" t="n"/>
    </row>
    <row r="8">
      <c r="A8" s="25" t="inlineStr">
        <is>
          <t>Annular Velocity</t>
        </is>
      </c>
      <c r="B8" s="26" t="n"/>
      <c r="C8" s="26" t="n"/>
      <c r="D8" s="26" t="n"/>
      <c r="E8" s="26" t="n"/>
      <c r="F8" s="49" t="inlineStr">
        <is>
          <t>AV [ft/min] = 24.5 x Q [gpm] / (Dh^2 - Dp^2)</t>
        </is>
      </c>
    </row>
    <row r="9">
      <c r="A9" t="inlineStr"/>
      <c r="F9" s="27" t="inlineStr">
        <is>
          <t>Typical minimums: 100-120 ft/min below 35 deg, 150-180 ft/min at 35-65 deg, &gt;= 180 ft/min above 65 deg (with pipe rotation).</t>
        </is>
      </c>
    </row>
    <row r="10">
      <c r="A10" s="28" t="inlineStr">
        <is>
          <t>Hole diameter (Dh)</t>
        </is>
      </c>
      <c r="B10" s="84">
        <f>WD_HoleDiam</f>
        <v/>
      </c>
      <c r="C10" s="30" t="inlineStr">
        <is>
          <t>in</t>
        </is>
      </c>
      <c r="D10" s="34">
        <f>IFERROR($B$10*25.4,NA())</f>
        <v/>
      </c>
      <c r="E10" s="30" t="inlineStr">
        <is>
          <t>mm</t>
        </is>
      </c>
      <c r="F10" s="27" t="inlineStr">
        <is>
          <t>Linked to Well Data sheet - overwrite locally if this well differs.</t>
        </is>
      </c>
    </row>
    <row r="11">
      <c r="A11" s="28" t="inlineStr">
        <is>
          <t>Pipe OD (Dp)</t>
        </is>
      </c>
      <c r="B11" s="33" t="n">
        <v>5</v>
      </c>
      <c r="C11" s="30" t="inlineStr">
        <is>
          <t>in</t>
        </is>
      </c>
      <c r="D11" s="34">
        <f>IFERROR($B$11*25.4,NA())</f>
        <v/>
      </c>
      <c r="E11" s="30" t="inlineStr">
        <is>
          <t>mm</t>
        </is>
      </c>
    </row>
    <row r="12">
      <c r="A12" s="28" t="inlineStr">
        <is>
          <t>Flow rate (Q)</t>
        </is>
      </c>
      <c r="B12" s="31" t="n">
        <v>600</v>
      </c>
      <c r="C12" s="30" t="inlineStr">
        <is>
          <t>gpm</t>
        </is>
      </c>
      <c r="D12" s="32">
        <f>IFERROR($B$12*3.785412,NA())</f>
        <v/>
      </c>
      <c r="E12" s="30" t="inlineStr">
        <is>
          <t>L/min</t>
        </is>
      </c>
    </row>
    <row r="13">
      <c r="A13" s="28" t="inlineStr">
        <is>
          <t>Annular velocity (AV)</t>
        </is>
      </c>
      <c r="B13" s="54">
        <f>24.5*$B$12/($B$10^2-$B$11^2)</f>
        <v/>
      </c>
      <c r="C13" s="30" t="inlineStr">
        <is>
          <t>ft/min</t>
        </is>
      </c>
      <c r="D13" s="40">
        <f>IFERROR($B$13*0.3048,NA())</f>
        <v/>
      </c>
      <c r="E13" s="30" t="inlineStr">
        <is>
          <t>m/min</t>
        </is>
      </c>
    </row>
    <row r="15" ht="20" customHeight="1">
      <c r="A15" s="23" t="inlineStr">
        <is>
          <t>Carrying Capacity Index</t>
        </is>
      </c>
      <c r="B15" s="24" t="n"/>
      <c r="C15" s="24" t="n"/>
      <c r="D15" s="24" t="n"/>
      <c r="E15" s="24" t="n"/>
      <c r="F15" s="24" t="n"/>
    </row>
    <row r="17">
      <c r="A17" s="25" t="inlineStr">
        <is>
          <t>Carrying Capacity Index (CCI)</t>
        </is>
      </c>
      <c r="B17" s="26" t="n"/>
      <c r="C17" s="26" t="n"/>
      <c r="D17" s="26" t="n"/>
      <c r="E17" s="26" t="n"/>
      <c r="F17" s="49" t="inlineStr">
        <is>
          <t>CCI = K x AV x MW / 400000;   K = 511^(1-n) x (PV + YP);   n = 3.32 x LOG10((2 x PV + YP) / (PV + YP))</t>
        </is>
      </c>
    </row>
    <row r="18">
      <c r="A18" t="inlineStr"/>
      <c r="F18" s="27" t="inlineStr">
        <is>
          <t>AV in ft/min, MW in ppg, K = power-law consistency (eq. cP). CCI &gt;= 1 indicates good hole cleaning.</t>
        </is>
      </c>
    </row>
    <row r="19">
      <c r="A19" s="28" t="inlineStr">
        <is>
          <t>Mud weight (MW)</t>
        </is>
      </c>
      <c r="B19" s="63">
        <f>WD_OMW</f>
        <v/>
      </c>
      <c r="C19" s="30" t="inlineStr">
        <is>
          <t>ppg</t>
        </is>
      </c>
      <c r="D19" s="36">
        <f>IFERROR($B$19*119.8264,NA())</f>
        <v/>
      </c>
      <c r="E19" s="30" t="inlineStr">
        <is>
          <t>kg/m3</t>
        </is>
      </c>
      <c r="F19" s="27" t="inlineStr">
        <is>
          <t>Linked to Well Data sheet - overwrite locally if this well differs.</t>
        </is>
      </c>
    </row>
    <row r="20">
      <c r="A20" s="28" t="inlineStr">
        <is>
          <t>Plastic viscosity (PV)</t>
        </is>
      </c>
      <c r="B20" s="95">
        <f>WD_PV</f>
        <v/>
      </c>
      <c r="C20" s="30" t="inlineStr">
        <is>
          <t>cP</t>
        </is>
      </c>
      <c r="F20" s="27" t="inlineStr">
        <is>
          <t>Linked to Well Data sheet - overwrite locally if this well differs.</t>
        </is>
      </c>
    </row>
    <row r="21">
      <c r="A21" s="28" t="inlineStr">
        <is>
          <t>Yield point (YP)</t>
        </is>
      </c>
      <c r="B21" s="95">
        <f>WD_YP</f>
        <v/>
      </c>
      <c r="C21" s="30" t="inlineStr"/>
      <c r="F21" s="27" t="inlineStr">
        <is>
          <t>lb/100ft2. Linked to Well Data - overwrite locally if needed.</t>
        </is>
      </c>
    </row>
    <row r="22">
      <c r="A22" s="28" t="inlineStr">
        <is>
          <t>Flow behavior index (n)</t>
        </is>
      </c>
      <c r="B22" s="50">
        <f>3.32*LOG10((2*$B$20+$B$21)/($B$20+$B$21))</f>
        <v/>
      </c>
      <c r="C22" s="30" t="inlineStr"/>
    </row>
    <row r="23">
      <c r="A23" s="28" t="inlineStr">
        <is>
          <t>Power-law consistency (K)</t>
        </is>
      </c>
      <c r="B23" s="59">
        <f>511^(1-$B$22)*($B$20+$B$21)</f>
        <v/>
      </c>
      <c r="C23" s="30" t="inlineStr"/>
      <c r="F23" s="27" t="inlineStr">
        <is>
          <t>Equivalent centipoise.</t>
        </is>
      </c>
    </row>
    <row r="24">
      <c r="A24" s="28" t="inlineStr">
        <is>
          <t>Carrying capacity index (CCI)</t>
        </is>
      </c>
      <c r="B24" s="51">
        <f>$B$23*$B$13*$B$19/400000</f>
        <v/>
      </c>
      <c r="C24" s="30" t="inlineStr"/>
    </row>
    <row r="25">
      <c r="A25" s="28" t="inlineStr">
        <is>
          <t>Hole cleaning status</t>
        </is>
      </c>
      <c r="B25" s="72">
        <f>IF($B$24&gt;=1,"OK - good cleaning",IF($B$24&gt;=0.5,"MARGINAL - increase flow/rheology","CHECK: poor hole cleaning likely"))</f>
        <v/>
      </c>
      <c r="C25" s="30" t="inlineStr"/>
    </row>
    <row r="27" ht="20" customHeight="1">
      <c r="A27" s="23" t="inlineStr">
        <is>
          <t>Angle-Band Minimum Flow Guidance</t>
        </is>
      </c>
      <c r="B27" s="24" t="n"/>
      <c r="C27" s="24" t="n"/>
      <c r="D27" s="24" t="n"/>
      <c r="E27" s="24" t="n"/>
      <c r="F27" s="24" t="n"/>
    </row>
    <row r="29">
      <c r="A29" s="25" t="inlineStr">
        <is>
          <t>Minimum Flow by Angle Band</t>
        </is>
      </c>
      <c r="B29" s="26" t="n"/>
      <c r="C29" s="26" t="n"/>
      <c r="D29" s="26" t="n"/>
      <c r="E29" s="26" t="n"/>
      <c r="F29" s="49" t="inlineStr">
        <is>
          <t>Qmin [gpm] = AVmin x (Dh^2 - Dp^2) / 24.5</t>
        </is>
      </c>
    </row>
    <row r="30">
      <c r="A30" t="inlineStr"/>
      <c r="F30" s="27" t="inlineStr">
        <is>
          <t>Band minimum AV: &lt; 35 deg -&gt; 120 ft/min; 35 deg and above -&gt; 180 ft/min (top of the 150-180 range in the hardest 35-65 deg band, and the bed-prevention minimum above 65 deg).</t>
        </is>
      </c>
    </row>
    <row r="31">
      <c r="A31" s="28" t="inlineStr">
        <is>
          <t>Hole angle</t>
        </is>
      </c>
      <c r="B31" s="31" t="n">
        <v>90</v>
      </c>
      <c r="C31" s="30" t="inlineStr">
        <is>
          <t>deg</t>
        </is>
      </c>
      <c r="F31" s="27" t="inlineStr">
        <is>
          <t>Degrees from vertical.</t>
        </is>
      </c>
    </row>
    <row r="32">
      <c r="A32" s="28" t="inlineStr">
        <is>
          <t>Angle band guidance</t>
        </is>
      </c>
      <c r="B32" s="72">
        <f>IF($B$31&lt;35,"OK to clean with AV 100-120 ft/min",IF($B$31&lt;=65,"CHECK: hardest band - avalanche/cuttings bed risk; AV 150-180 ft/min + rotation","CHECK: bed forms unless AV &gt;= 180 ft/min with pipe rotation"))</f>
        <v/>
      </c>
      <c r="C32" s="30" t="inlineStr"/>
    </row>
    <row r="33">
      <c r="A33" s="28" t="inlineStr">
        <is>
          <t>Minimum recommended AV for band</t>
        </is>
      </c>
      <c r="B33" s="59">
        <f>IF($B$31&lt;35,120,IF($B$31&lt;=65,180,180))</f>
        <v/>
      </c>
      <c r="C33" s="30" t="inlineStr">
        <is>
          <t>ft/min</t>
        </is>
      </c>
      <c r="D33" s="32">
        <f>IFERROR($B$33*0.3048,NA())</f>
        <v/>
      </c>
      <c r="E33" s="30" t="inlineStr">
        <is>
          <t>m/min</t>
        </is>
      </c>
    </row>
    <row r="34">
      <c r="A34" s="28" t="inlineStr">
        <is>
          <t>Minimum recommended flow rate (Qmin)</t>
        </is>
      </c>
      <c r="B34" s="59">
        <f>$B$33*($B$10^2-$B$11^2)/24.5</f>
        <v/>
      </c>
      <c r="C34" s="30" t="inlineStr">
        <is>
          <t>gpm</t>
        </is>
      </c>
      <c r="D34" s="32">
        <f>IFERROR($B$34*3.785412,NA())</f>
        <v/>
      </c>
      <c r="E34" s="30" t="inlineStr">
        <is>
          <t>L/min</t>
        </is>
      </c>
    </row>
    <row r="35">
      <c r="A35" s="28" t="inlineStr">
        <is>
          <t>Current flow vs band minimum</t>
        </is>
      </c>
      <c r="B35" s="72">
        <f>IF($B$12&gt;=$B$34,"OK - flow meets band minimum","INSUFFICIENT flow for this angle band - increase rate")</f>
        <v/>
      </c>
      <c r="C35" s="30" t="inlineStr"/>
    </row>
    <row r="37" ht="20" customHeight="1">
      <c r="A37" s="23" t="inlineStr">
        <is>
          <t>Slip Velocity &amp; Transport (vertical baseline)</t>
        </is>
      </c>
      <c r="B37" s="24" t="n"/>
      <c r="C37" s="24" t="n"/>
      <c r="D37" s="24" t="n"/>
      <c r="E37" s="24" t="n"/>
      <c r="F37" s="24" t="n"/>
    </row>
    <row r="39">
      <c r="A39" s="25" t="inlineStr">
        <is>
          <t>Slip Velocity (Moore-style, turbulent)</t>
        </is>
      </c>
      <c r="B39" s="26" t="n"/>
      <c r="C39" s="26" t="n"/>
      <c r="D39" s="26" t="n"/>
      <c r="E39" s="26" t="n"/>
      <c r="F39" s="49" t="inlineStr">
        <is>
          <t>Vs [ft/min] = 92.6 x SQRT(Dc x (rho_c - MW) / MW)</t>
        </is>
      </c>
    </row>
    <row r="40">
      <c r="A40" t="inlineStr"/>
      <c r="F40" s="27" t="inlineStr">
        <is>
          <t>Turbulent-regime approximation; Dc in inches, densities in ppg. Vertical-well baseline - above ~65 deg cuttings beds, not slip, control cleaning.</t>
        </is>
      </c>
    </row>
    <row r="41">
      <c r="A41" s="28" t="inlineStr">
        <is>
          <t>Cutting diameter (Dc)</t>
        </is>
      </c>
      <c r="B41" s="33" t="n">
        <v>0.25</v>
      </c>
      <c r="C41" s="30" t="inlineStr">
        <is>
          <t>in</t>
        </is>
      </c>
      <c r="D41" s="34">
        <f>IFERROR($B$41*25.4,NA())</f>
        <v/>
      </c>
      <c r="E41" s="30" t="inlineStr">
        <is>
          <t>mm</t>
        </is>
      </c>
    </row>
    <row r="42">
      <c r="A42" s="28" t="inlineStr">
        <is>
          <t>Cutting density (rho_c)</t>
        </is>
      </c>
      <c r="B42" s="37" t="n">
        <v>21.7</v>
      </c>
      <c r="C42" s="30" t="inlineStr">
        <is>
          <t>ppg</t>
        </is>
      </c>
      <c r="D42" s="40">
        <f>IFERROR($B$42*119.8264,NA())</f>
        <v/>
      </c>
      <c r="E42" s="30" t="inlineStr">
        <is>
          <t>kg/m3</t>
        </is>
      </c>
      <c r="F42" s="27" t="inlineStr">
        <is>
          <t>~2.6 SG for typical shale/sand cuttings.</t>
        </is>
      </c>
    </row>
    <row r="43">
      <c r="A43" s="28" t="inlineStr">
        <is>
          <t>Slip velocity (Vs)</t>
        </is>
      </c>
      <c r="B43" s="54">
        <f>92.6*SQRT($B$41*($B$42-$B$19)/$B$19)</f>
        <v/>
      </c>
      <c r="C43" s="30" t="inlineStr">
        <is>
          <t>ft/min</t>
        </is>
      </c>
      <c r="D43" s="40">
        <f>IFERROR($B$43*0.3048,NA())</f>
        <v/>
      </c>
      <c r="E43" s="30" t="inlineStr">
        <is>
          <t>m/min</t>
        </is>
      </c>
    </row>
    <row r="44">
      <c r="A44" s="28" t="inlineStr">
        <is>
          <t>Transport ratio (TR)</t>
        </is>
      </c>
      <c r="B44" s="51">
        <f>1-$B$43/$B$13</f>
        <v/>
      </c>
      <c r="C44" s="30" t="inlineStr"/>
      <c r="F44" s="27" t="inlineStr">
        <is>
          <t>TR = 1 - Vs/AV. Net upward cuttings velocity fraction.</t>
        </is>
      </c>
    </row>
    <row r="45">
      <c r="A45" s="28" t="inlineStr">
        <is>
          <t>Transport status</t>
        </is>
      </c>
      <c r="B45" s="72">
        <f>IF($B$44&gt;0.5,"OK - good transport",IF($B$44&gt;0.3,"MARGINAL - watch cuttings returns","CHECK: increase flow"))</f>
        <v/>
      </c>
      <c r="C45" s="30" t="inlineStr"/>
    </row>
    <row r="47" ht="20" customHeight="1">
      <c r="A47" s="23" t="inlineStr">
        <is>
          <t>Cuttings Concentration</t>
        </is>
      </c>
      <c r="B47" s="24" t="n"/>
      <c r="C47" s="24" t="n"/>
      <c r="D47" s="24" t="n"/>
      <c r="E47" s="24" t="n"/>
      <c r="F47" s="24" t="n"/>
    </row>
    <row r="49">
      <c r="A49" s="25" t="inlineStr">
        <is>
          <t>Annular Cuttings Concentration</t>
        </is>
      </c>
      <c r="B49" s="26" t="n"/>
      <c r="C49" s="26" t="n"/>
      <c r="D49" s="26" t="n"/>
      <c r="E49" s="26" t="n"/>
      <c r="F49" s="49" t="inlineStr">
        <is>
          <t>Gen [bbl/hr] = ROP x Dh^2 / 1029.4;   Conc [%] = 100 x Gen / (Gen + Q x 60/42)</t>
        </is>
      </c>
    </row>
    <row r="50">
      <c r="A50" t="inlineStr"/>
      <c r="F50" s="27" t="inlineStr">
        <is>
          <t>Keep annular cuttings concentration below ~5% to avoid pack-off and ECD spikes.</t>
        </is>
      </c>
    </row>
    <row r="51">
      <c r="A51" s="28" t="inlineStr">
        <is>
          <t>Rate of penetration (ROP)</t>
        </is>
      </c>
      <c r="B51" s="31" t="n">
        <v>60</v>
      </c>
      <c r="C51" s="30" t="inlineStr">
        <is>
          <t>ft/hr</t>
        </is>
      </c>
      <c r="D51" s="32">
        <f>IFERROR($B$51*0.3048,NA())</f>
        <v/>
      </c>
      <c r="E51" s="30" t="inlineStr">
        <is>
          <t>m/hr</t>
        </is>
      </c>
    </row>
    <row r="52">
      <c r="A52" s="28" t="inlineStr">
        <is>
          <t>Cuttings generation rate</t>
        </is>
      </c>
      <c r="B52" s="51">
        <f>$B$51*$B$10^2/1029.4</f>
        <v/>
      </c>
      <c r="C52" s="30" t="inlineStr">
        <is>
          <t>bbl/hr</t>
        </is>
      </c>
      <c r="D52" s="42">
        <f>IFERROR($B$52*0.1589873,NA())</f>
        <v/>
      </c>
      <c r="E52" s="30" t="inlineStr">
        <is>
          <t>m3/hr</t>
        </is>
      </c>
    </row>
    <row r="53">
      <c r="A53" s="28" t="inlineStr">
        <is>
          <t>Circulation rate</t>
        </is>
      </c>
      <c r="B53" s="60">
        <f>$B$12*60/42</f>
        <v/>
      </c>
      <c r="C53" s="30" t="inlineStr">
        <is>
          <t>bbl/hr</t>
        </is>
      </c>
      <c r="D53" s="61">
        <f>IFERROR($B$53*0.1589873,NA())</f>
        <v/>
      </c>
      <c r="E53" s="30" t="inlineStr">
        <is>
          <t>m3/hr</t>
        </is>
      </c>
    </row>
    <row r="54">
      <c r="A54" s="28" t="inlineStr">
        <is>
          <t>Annular cuttings concentration</t>
        </is>
      </c>
      <c r="B54" s="51">
        <f>100*$B$52/($B$52+$B$53)</f>
        <v/>
      </c>
      <c r="C54" s="30" t="inlineStr"/>
      <c r="F54" s="27" t="inlineStr">
        <is>
          <t>Percent by volume, steady state.</t>
        </is>
      </c>
    </row>
    <row r="55">
      <c r="A55" s="28" t="inlineStr">
        <is>
          <t>Concentration status</t>
        </is>
      </c>
      <c r="B55" s="72">
        <f>IF($B$54&lt;=4,"OK",IF($B$54&lt;=6,"MARGINAL","CHECK: exceeds 5% guideline - reduce ROP or raise flow"))</f>
        <v/>
      </c>
      <c r="C55" s="30" t="inlineStr"/>
    </row>
    <row r="57" ht="20" customHeight="1">
      <c r="A57" s="23" t="inlineStr">
        <is>
          <t>Pipe Rotation &amp; Practices</t>
        </is>
      </c>
      <c r="B57" s="24" t="n"/>
      <c r="C57" s="24" t="n"/>
      <c r="D57" s="24" t="n"/>
      <c r="E57" s="24" t="n"/>
      <c r="F57" s="24" t="n"/>
    </row>
    <row r="59">
      <c r="A59" s="25" t="inlineStr">
        <is>
          <t>Good Practices - High-Angle Cleaning</t>
        </is>
      </c>
      <c r="B59" s="26" t="n"/>
      <c r="C59" s="26" t="n"/>
      <c r="D59" s="26" t="n"/>
      <c r="E59" s="26" t="n"/>
      <c r="F59" s="26" t="n"/>
    </row>
    <row r="60">
      <c r="A60" s="27" t="inlineStr">
        <is>
          <t>Pipe rotation</t>
        </is>
      </c>
      <c r="F60" s="27" t="inlineStr">
        <is>
          <t>Rotation &gt;= 120 rpm agitates and disturbs cuttings beds in laterals - the single most effective mechanical aid to cleaning.</t>
        </is>
      </c>
    </row>
    <row r="61">
      <c r="A61" s="27" t="inlineStr">
        <is>
          <t>Sweeps</t>
        </is>
      </c>
      <c r="F61" s="27" t="inlineStr">
        <is>
          <t>Pump sweeps (hi-vis or weighted) have limited value above 65 deg - flow rate and rotation do the work, not viscosity alone.</t>
        </is>
      </c>
    </row>
    <row r="62">
      <c r="A62" s="27" t="inlineStr">
        <is>
          <t>Before tripping</t>
        </is>
      </c>
      <c r="F62" s="27" t="inlineStr">
        <is>
          <t>Circulate 2-3 bottoms-up at full rate with rotation before tripping in high-angle hole.</t>
        </is>
      </c>
    </row>
    <row r="63">
      <c r="A63" s="27" t="inlineStr">
        <is>
          <t>Monitoring</t>
        </is>
      </c>
      <c r="F63" s="27" t="inlineStr">
        <is>
          <t>Monitor shaker returns against the expected cuttings volume (generation rate x circulating time) - a shortfall means a bed is building downhole.</t>
        </is>
      </c>
    </row>
  </sheetData>
  <sheetProtection selectLockedCells="0" selectUnlockedCells="0" sheet="1" objects="0" insertRows="1" insertHyperlinks="1" autoFilter="1" scenarios="0" formatColumns="0" deleteColumns="1" insertColumns="1" pivotTables="1" deleteRows="1" formatCells="1" formatRows="0" sort="1"/>
  <mergeCells count="8">
    <mergeCell ref="A2:F2"/>
    <mergeCell ref="A47:F47"/>
    <mergeCell ref="A1:F1"/>
    <mergeCell ref="A37:F37"/>
    <mergeCell ref="A27:F27"/>
    <mergeCell ref="A6:F6"/>
    <mergeCell ref="A15:F15"/>
    <mergeCell ref="A57:F57"/>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18.xml><?xml version="1.0" encoding="utf-8"?>
<worksheet xmlns="http://schemas.openxmlformats.org/spreadsheetml/2006/main">
  <sheetPr>
    <tabColor rgb="002E75B6"/>
    <outlinePr summaryBelow="1" summaryRight="1"/>
    <pageSetUpPr/>
  </sheetPr>
  <dimension ref="A1:J49"/>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 width="12" customWidth="1" min="7" max="7"/>
    <col width="10" customWidth="1" min="8" max="8"/>
    <col width="10" customWidth="1" min="9" max="9"/>
    <col width="10" customWidth="1" min="10" max="10"/>
  </cols>
  <sheetData>
    <row r="1" ht="26" customHeight="1">
      <c r="A1" s="19" t="inlineStr">
        <is>
          <t>Maximum Trip Speed vs Depth - Surge &amp; Swab Limits</t>
        </is>
      </c>
      <c r="B1" s="2" t="n"/>
      <c r="C1" s="2" t="n"/>
      <c r="D1" s="2" t="n"/>
      <c r="E1" s="2" t="n"/>
      <c r="F1" s="2" t="n"/>
    </row>
    <row r="2">
      <c r="A2" s="20" t="inlineStr">
        <is>
          <t>Burkhardt closed-ended clinging + laminar Bingham friction, inverted for pipe speed; running and pulling speed schedule with seconds per stand</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Geometry &amp; Fluid</t>
        </is>
      </c>
      <c r="B6" s="24" t="n"/>
      <c r="C6" s="24" t="n"/>
      <c r="D6" s="24" t="n"/>
      <c r="E6" s="24" t="n"/>
      <c r="F6" s="24" t="n"/>
    </row>
    <row r="8">
      <c r="A8" s="25" t="inlineStr">
        <is>
          <t>Annulus Geometry</t>
        </is>
      </c>
      <c r="B8" s="26" t="n"/>
      <c r="C8" s="26" t="n"/>
      <c r="D8" s="26" t="n"/>
      <c r="E8" s="26" t="n"/>
      <c r="F8" s="26" t="n"/>
    </row>
    <row r="9">
      <c r="A9" t="inlineStr"/>
      <c r="F9" s="27" t="inlineStr">
        <is>
          <t>Closed-ended (float / bullnose / plugged bit) is the worst case and is what the schedule below assumes. Open-ended pipe surges less.</t>
        </is>
      </c>
    </row>
    <row r="10">
      <c r="A10" s="28" t="inlineStr">
        <is>
          <t>Casing / hole ID (Dc)</t>
        </is>
      </c>
      <c r="B10" s="84">
        <f>WD_CsgID</f>
        <v/>
      </c>
      <c r="C10" s="30" t="inlineStr">
        <is>
          <t>in</t>
        </is>
      </c>
      <c r="D10" s="34">
        <f>IFERROR($B$10*25.4,NA())</f>
        <v/>
      </c>
      <c r="E10" s="30" t="inlineStr">
        <is>
          <t>mm</t>
        </is>
      </c>
      <c r="F10" s="27" t="inlineStr">
        <is>
          <t>Linked to Well Data. Use the smallest restriction the pipe runs through (casing ID here; overwrite with open-hole size if smaller).</t>
        </is>
      </c>
    </row>
    <row r="11">
      <c r="A11" s="28" t="inlineStr">
        <is>
          <t>Pipe OD (Dp)</t>
        </is>
      </c>
      <c r="B11" s="33" t="n">
        <v>5</v>
      </c>
      <c r="C11" s="30" t="inlineStr">
        <is>
          <t>in</t>
        </is>
      </c>
      <c r="D11" s="34">
        <f>IFERROR($B$11*25.4,NA())</f>
        <v/>
      </c>
      <c r="E11" s="30" t="inlineStr">
        <is>
          <t>mm</t>
        </is>
      </c>
    </row>
    <row r="12">
      <c r="A12" s="28" t="inlineStr">
        <is>
          <t>Pipe ID</t>
        </is>
      </c>
      <c r="B12" s="33" t="n">
        <v>4.276</v>
      </c>
      <c r="C12" s="30" t="inlineStr">
        <is>
          <t>in</t>
        </is>
      </c>
      <c r="D12" s="34">
        <f>IFERROR($B$12*25.4,NA())</f>
        <v/>
      </c>
      <c r="E12" s="30" t="inlineStr">
        <is>
          <t>mm</t>
        </is>
      </c>
      <c r="F12" s="27" t="inlineStr">
        <is>
          <t>Reference only - closed-ended assumption ignores the pipe bore.</t>
        </is>
      </c>
    </row>
    <row r="13">
      <c r="A13" s="28" t="inlineStr">
        <is>
          <t>Clinging factor (K)</t>
        </is>
      </c>
      <c r="B13" s="50">
        <f>0.45+$B$11^2/($B$10^2-$B$11^2)</f>
        <v/>
      </c>
      <c r="C13" s="30" t="inlineStr"/>
      <c r="F13" s="27" t="inlineStr">
        <is>
          <t>Burkhardt closed-ended: Ve = Vp x K, K = 0.45 + Dp^2/(Dc^2-Dp^2).</t>
        </is>
      </c>
    </row>
    <row r="15">
      <c r="A15" s="25" t="inlineStr">
        <is>
          <t>Mud Properties</t>
        </is>
      </c>
      <c r="B15" s="26" t="n"/>
      <c r="C15" s="26" t="n"/>
      <c r="D15" s="26" t="n"/>
      <c r="E15" s="26" t="n"/>
      <c r="F15" s="26" t="n"/>
    </row>
    <row r="16">
      <c r="A16" s="28" t="inlineStr">
        <is>
          <t>Mud weight (MW)</t>
        </is>
      </c>
      <c r="B16" s="63">
        <f>WD_OMW</f>
        <v/>
      </c>
      <c r="C16" s="30" t="inlineStr">
        <is>
          <t>ppg</t>
        </is>
      </c>
      <c r="D16" s="36">
        <f>IFERROR($B$16*119.8264,NA())</f>
        <v/>
      </c>
      <c r="E16" s="30" t="inlineStr">
        <is>
          <t>kg/m3</t>
        </is>
      </c>
      <c r="F16" s="27" t="inlineStr">
        <is>
          <t>Linked to Well Data sheet - overwrite locally if this well differs.</t>
        </is>
      </c>
    </row>
    <row r="17">
      <c r="A17" s="28" t="inlineStr">
        <is>
          <t>Plastic viscosity (PV)</t>
        </is>
      </c>
      <c r="B17" s="95">
        <f>WD_PV</f>
        <v/>
      </c>
      <c r="C17" s="30" t="inlineStr"/>
      <c r="F17" s="27" t="inlineStr">
        <is>
          <t>cP.</t>
        </is>
      </c>
    </row>
    <row r="18">
      <c r="A18" s="28" t="inlineStr">
        <is>
          <t>Yield point (YP)</t>
        </is>
      </c>
      <c r="B18" s="95">
        <f>WD_YP</f>
        <v/>
      </c>
      <c r="C18" s="30" t="inlineStr"/>
      <c r="F18" s="27" t="inlineStr">
        <is>
          <t>lb/100 ft2.</t>
        </is>
      </c>
    </row>
    <row r="20" ht="20" customHeight="1">
      <c r="A20" s="23" t="inlineStr">
        <is>
          <t>Pressure Limits</t>
        </is>
      </c>
      <c r="B20" s="24" t="n"/>
      <c r="C20" s="24" t="n"/>
      <c r="D20" s="24" t="n"/>
      <c r="E20" s="24" t="n"/>
      <c r="F20" s="24" t="n"/>
    </row>
    <row r="22">
      <c r="A22" s="25" t="inlineStr">
        <is>
          <t>Allowable Surge &amp; Swab</t>
        </is>
      </c>
      <c r="B22" s="26" t="n"/>
      <c r="C22" s="26" t="n"/>
      <c r="D22" s="26" t="n"/>
      <c r="E22" s="26" t="n"/>
      <c r="F22" s="49" t="inlineStr">
        <is>
          <t>dP_surge_allow = (EMW_frac - MW) x 0.052 x TVD;   dP_swab_allow = (MW - EMW_pore) x 0.052 x TVD</t>
        </is>
      </c>
    </row>
    <row r="23">
      <c r="A23" t="inlineStr"/>
      <c r="F23" s="27" t="inlineStr">
        <is>
          <t>Surge side is limited by the frac/loss EMW (running in raises BHP); swab side by the pore + kick-margin EMW (pulling out lowers BHP). The table below evaluates both at each bit depth with L = depth.</t>
        </is>
      </c>
    </row>
    <row r="24">
      <c r="A24" s="28" t="inlineStr">
        <is>
          <t>Frac / loss limit EMW</t>
        </is>
      </c>
      <c r="B24" s="63">
        <f>WD_LOT</f>
        <v/>
      </c>
      <c r="C24" s="30" t="inlineStr">
        <is>
          <t>ppg</t>
        </is>
      </c>
      <c r="D24" s="36">
        <f>IFERROR($B$24*119.8264,NA())</f>
        <v/>
      </c>
      <c r="E24" s="30" t="inlineStr">
        <is>
          <t>kg/m3</t>
        </is>
      </c>
      <c r="F24" s="27" t="inlineStr">
        <is>
          <t>Linked to the LOT/FIT EMW - overwrite with a loss-zone EMW if lower.</t>
        </is>
      </c>
    </row>
    <row r="25">
      <c r="A25" s="28" t="inlineStr">
        <is>
          <t>Pore / swab limit EMW</t>
        </is>
      </c>
      <c r="B25" s="41" t="n">
        <v>12</v>
      </c>
      <c r="C25" s="30" t="inlineStr">
        <is>
          <t>ppg</t>
        </is>
      </c>
      <c r="D25" s="42">
        <f>IFERROR($B$25*119.8264,NA())</f>
        <v/>
      </c>
      <c r="E25" s="30" t="inlineStr">
        <is>
          <t>kg/m3</t>
        </is>
      </c>
      <c r="F25" s="27" t="inlineStr">
        <is>
          <t>Pore pressure EMW plus kick margin on the swab side. If this is at/above MW, tripping out swabs the well in - raise MW first.</t>
        </is>
      </c>
    </row>
    <row r="26">
      <c r="A26" s="28" t="inlineStr">
        <is>
          <t>TVD at TD (reference)</t>
        </is>
      </c>
      <c r="B26" s="64">
        <f>WD_TVD</f>
        <v/>
      </c>
      <c r="C26" s="30" t="inlineStr">
        <is>
          <t>ft</t>
        </is>
      </c>
      <c r="D26" s="32">
        <f>IFERROR($B$26*0.3048,NA())</f>
        <v/>
      </c>
      <c r="E26" s="30" t="inlineStr">
        <is>
          <t>m</t>
        </is>
      </c>
      <c r="F26" s="27" t="inlineStr">
        <is>
          <t>Linked to Well Data sheet - overwrite locally if this well differs.</t>
        </is>
      </c>
    </row>
    <row r="27">
      <c r="A27" s="28" t="inlineStr">
        <is>
          <t>Rig handling speed cap</t>
        </is>
      </c>
      <c r="B27" s="31" t="n">
        <v>400</v>
      </c>
      <c r="C27" s="30" t="inlineStr">
        <is>
          <t>ft/min</t>
        </is>
      </c>
      <c r="D27" s="32">
        <f>IFERROR($B$27*0.3048,NA())</f>
        <v/>
      </c>
      <c r="E27" s="30" t="inlineStr">
        <is>
          <t>m/min</t>
        </is>
      </c>
      <c r="F27" s="27" t="inlineStr">
        <is>
          <t>Practical block-speed/handling ceiling; the schedule shows MIN(cap, hydraulic limit). Laminar surge model loses validity at very high speeds anyway.</t>
        </is>
      </c>
    </row>
    <row r="28">
      <c r="A28" s="28" t="inlineStr">
        <is>
          <t>Surge margin (frac EMW - MW)</t>
        </is>
      </c>
      <c r="B28" s="51">
        <f>$B$24-$B$16</f>
        <v/>
      </c>
      <c r="C28" s="30" t="inlineStr">
        <is>
          <t>ppg</t>
        </is>
      </c>
      <c r="D28" s="42">
        <f>IFERROR($B$28*119.8264,NA())</f>
        <v/>
      </c>
      <c r="E28" s="30" t="inlineStr">
        <is>
          <t>kg/m3</t>
        </is>
      </c>
    </row>
    <row r="29">
      <c r="A29" s="28" t="inlineStr">
        <is>
          <t>Swab margin (MW - swab limit)</t>
        </is>
      </c>
      <c r="B29" s="51">
        <f>$B$16-$B$25</f>
        <v/>
      </c>
      <c r="C29" s="30" t="inlineStr">
        <is>
          <t>ppg</t>
        </is>
      </c>
      <c r="D29" s="42">
        <f>IFERROR($B$29*119.8264,NA())</f>
        <v/>
      </c>
      <c r="E29" s="30" t="inlineStr">
        <is>
          <t>kg/m3</t>
        </is>
      </c>
    </row>
    <row r="30">
      <c r="A30" s="28" t="inlineStr">
        <is>
          <t>Surge status</t>
        </is>
      </c>
      <c r="B30" s="72">
        <f>IF($B$28&gt;=0.5,"OK - surge margin adequate",IF($B$28&gt;0,"MARGINAL - thin surge margin - run slowly","DO NOT run in - MW at/above frac limit"))</f>
        <v/>
      </c>
      <c r="C30" s="30" t="inlineStr"/>
    </row>
    <row r="31">
      <c r="A31" s="28" t="inlineStr">
        <is>
          <t>Swab status</t>
        </is>
      </c>
      <c r="B31" s="72">
        <f>IF($B$29&gt;=0.3,"OK - swab margin adequate",IF($B$29&gt;0,"MARGINAL - thin swab margin - pull slowly","DO NOT trip out on this mud - MW at/below swab limit; raise MW first"))</f>
        <v/>
      </c>
      <c r="C31" s="30" t="inlineStr"/>
    </row>
    <row r="33">
      <c r="A33" s="89" t="inlineStr">
        <is>
          <t>Trip Speed Schedule - enter bit depths (yellow, MD = TVD assumed; use survey TVDs on deviated wells)</t>
        </is>
      </c>
      <c r="B33" s="24" t="n"/>
      <c r="C33" s="24" t="n"/>
      <c r="D33" s="24" t="n"/>
      <c r="E33" s="24" t="n"/>
      <c r="F33" s="24" t="n"/>
    </row>
    <row r="34">
      <c r="A34" s="66" t="inlineStr">
        <is>
          <t>Bit depth (ft)</t>
        </is>
      </c>
      <c r="B34" s="67" t="inlineStr">
        <is>
          <t>Allow surge (psi)</t>
        </is>
      </c>
      <c r="C34" s="67" t="inlineStr">
        <is>
          <t>Allow swab (psi)</t>
        </is>
      </c>
      <c r="D34" s="67" t="inlineStr">
        <is>
          <t>Max run (ft/min)</t>
        </is>
      </c>
      <c r="E34" s="67" t="inlineStr">
        <is>
          <t>Max pull (ft/min)</t>
        </is>
      </c>
      <c r="F34" s="67" t="inlineStr">
        <is>
          <t>s/stand run</t>
        </is>
      </c>
      <c r="G34" s="67" t="inlineStr">
        <is>
          <t>s/stand pull</t>
        </is>
      </c>
      <c r="H34" s="67" t="inlineStr">
        <is>
          <t>RUNh*</t>
        </is>
      </c>
      <c r="I34" s="67" t="inlineStr">
        <is>
          <t>PULLh*</t>
        </is>
      </c>
      <c r="J34" s="67" t="inlineStr">
        <is>
          <t>DEPTHh*</t>
        </is>
      </c>
    </row>
    <row r="35">
      <c r="A35" s="31" t="n">
        <v>1000</v>
      </c>
      <c r="B35" s="71">
        <f>IF($A35="","",MAX(0,($B$24-$B$16)*0.052*$A35))</f>
        <v/>
      </c>
      <c r="C35" s="71">
        <f>IF($A35="","",MAX(0,($B$16-$B$25)*0.052*$A35))</f>
        <v/>
      </c>
      <c r="D35" s="71">
        <f>IF($A35="","",MIN($B$27,MAX(0,(B35-$A35*$B$18/(200*($B$10-$B$11)))*60000*($B$10-$B$11)^2/($A35*$B$17*$B$13))))</f>
        <v/>
      </c>
      <c r="E35" s="71">
        <f>IF($A35="","",MIN($B$27,MAX(0,(C35-$A35*$B$18/(200*($B$10-$B$11)))*60000*($B$10-$B$11)^2/($A35*$B$17*$B$13))))</f>
        <v/>
      </c>
      <c r="F35" s="71">
        <f>IF($A35="","",IF(D35&lt;=0,"-",93/D35*60))</f>
        <v/>
      </c>
      <c r="G35" s="71">
        <f>IF($A35="","",IF(E35&lt;=0,"-",93/E35*60))</f>
        <v/>
      </c>
      <c r="H35" s="99">
        <f>IF($A35="",NA(),D35)</f>
        <v/>
      </c>
      <c r="I35" s="99">
        <f>IF($A35="",NA(),E35)</f>
        <v/>
      </c>
      <c r="J35" s="99">
        <f>IF($A35="",NA(),$A35)</f>
        <v/>
      </c>
    </row>
    <row r="36">
      <c r="A36" s="31" t="n">
        <v>2000</v>
      </c>
      <c r="B36" s="71">
        <f>IF($A36="","",MAX(0,($B$24-$B$16)*0.052*$A36))</f>
        <v/>
      </c>
      <c r="C36" s="71">
        <f>IF($A36="","",MAX(0,($B$16-$B$25)*0.052*$A36))</f>
        <v/>
      </c>
      <c r="D36" s="71">
        <f>IF($A36="","",MIN($B$27,MAX(0,(B36-$A36*$B$18/(200*($B$10-$B$11)))*60000*($B$10-$B$11)^2/($A36*$B$17*$B$13))))</f>
        <v/>
      </c>
      <c r="E36" s="71">
        <f>IF($A36="","",MIN($B$27,MAX(0,(C36-$A36*$B$18/(200*($B$10-$B$11)))*60000*($B$10-$B$11)^2/($A36*$B$17*$B$13))))</f>
        <v/>
      </c>
      <c r="F36" s="71">
        <f>IF($A36="","",IF(D36&lt;=0,"-",93/D36*60))</f>
        <v/>
      </c>
      <c r="G36" s="71">
        <f>IF($A36="","",IF(E36&lt;=0,"-",93/E36*60))</f>
        <v/>
      </c>
      <c r="H36" s="99">
        <f>IF($A36="",NA(),D36)</f>
        <v/>
      </c>
      <c r="I36" s="99">
        <f>IF($A36="",NA(),E36)</f>
        <v/>
      </c>
      <c r="J36" s="99">
        <f>IF($A36="",NA(),$A36)</f>
        <v/>
      </c>
    </row>
    <row r="37">
      <c r="A37" s="31" t="n">
        <v>3000</v>
      </c>
      <c r="B37" s="71">
        <f>IF($A37="","",MAX(0,($B$24-$B$16)*0.052*$A37))</f>
        <v/>
      </c>
      <c r="C37" s="71">
        <f>IF($A37="","",MAX(0,($B$16-$B$25)*0.052*$A37))</f>
        <v/>
      </c>
      <c r="D37" s="71">
        <f>IF($A37="","",MIN($B$27,MAX(0,(B37-$A37*$B$18/(200*($B$10-$B$11)))*60000*($B$10-$B$11)^2/($A37*$B$17*$B$13))))</f>
        <v/>
      </c>
      <c r="E37" s="71">
        <f>IF($A37="","",MIN($B$27,MAX(0,(C37-$A37*$B$18/(200*($B$10-$B$11)))*60000*($B$10-$B$11)^2/($A37*$B$17*$B$13))))</f>
        <v/>
      </c>
      <c r="F37" s="71">
        <f>IF($A37="","",IF(D37&lt;=0,"-",93/D37*60))</f>
        <v/>
      </c>
      <c r="G37" s="71">
        <f>IF($A37="","",IF(E37&lt;=0,"-",93/E37*60))</f>
        <v/>
      </c>
      <c r="H37" s="99">
        <f>IF($A37="",NA(),D37)</f>
        <v/>
      </c>
      <c r="I37" s="99">
        <f>IF($A37="",NA(),E37)</f>
        <v/>
      </c>
      <c r="J37" s="99">
        <f>IF($A37="",NA(),$A37)</f>
        <v/>
      </c>
    </row>
    <row r="38">
      <c r="A38" s="31" t="n">
        <v>4000</v>
      </c>
      <c r="B38" s="71">
        <f>IF($A38="","",MAX(0,($B$24-$B$16)*0.052*$A38))</f>
        <v/>
      </c>
      <c r="C38" s="71">
        <f>IF($A38="","",MAX(0,($B$16-$B$25)*0.052*$A38))</f>
        <v/>
      </c>
      <c r="D38" s="71">
        <f>IF($A38="","",MIN($B$27,MAX(0,(B38-$A38*$B$18/(200*($B$10-$B$11)))*60000*($B$10-$B$11)^2/($A38*$B$17*$B$13))))</f>
        <v/>
      </c>
      <c r="E38" s="71">
        <f>IF($A38="","",MIN($B$27,MAX(0,(C38-$A38*$B$18/(200*($B$10-$B$11)))*60000*($B$10-$B$11)^2/($A38*$B$17*$B$13))))</f>
        <v/>
      </c>
      <c r="F38" s="71">
        <f>IF($A38="","",IF(D38&lt;=0,"-",93/D38*60))</f>
        <v/>
      </c>
      <c r="G38" s="71">
        <f>IF($A38="","",IF(E38&lt;=0,"-",93/E38*60))</f>
        <v/>
      </c>
      <c r="H38" s="99">
        <f>IF($A38="",NA(),D38)</f>
        <v/>
      </c>
      <c r="I38" s="99">
        <f>IF($A38="",NA(),E38)</f>
        <v/>
      </c>
      <c r="J38" s="99">
        <f>IF($A38="",NA(),$A38)</f>
        <v/>
      </c>
    </row>
    <row r="39">
      <c r="A39" s="31" t="n">
        <v>5000</v>
      </c>
      <c r="B39" s="71">
        <f>IF($A39="","",MAX(0,($B$24-$B$16)*0.052*$A39))</f>
        <v/>
      </c>
      <c r="C39" s="71">
        <f>IF($A39="","",MAX(0,($B$16-$B$25)*0.052*$A39))</f>
        <v/>
      </c>
      <c r="D39" s="71">
        <f>IF($A39="","",MIN($B$27,MAX(0,(B39-$A39*$B$18/(200*($B$10-$B$11)))*60000*($B$10-$B$11)^2/($A39*$B$17*$B$13))))</f>
        <v/>
      </c>
      <c r="E39" s="71">
        <f>IF($A39="","",MIN($B$27,MAX(0,(C39-$A39*$B$18/(200*($B$10-$B$11)))*60000*($B$10-$B$11)^2/($A39*$B$17*$B$13))))</f>
        <v/>
      </c>
      <c r="F39" s="71">
        <f>IF($A39="","",IF(D39&lt;=0,"-",93/D39*60))</f>
        <v/>
      </c>
      <c r="G39" s="71">
        <f>IF($A39="","",IF(E39&lt;=0,"-",93/E39*60))</f>
        <v/>
      </c>
      <c r="H39" s="99">
        <f>IF($A39="",NA(),D39)</f>
        <v/>
      </c>
      <c r="I39" s="99">
        <f>IF($A39="",NA(),E39)</f>
        <v/>
      </c>
      <c r="J39" s="99">
        <f>IF($A39="",NA(),$A39)</f>
        <v/>
      </c>
    </row>
    <row r="40">
      <c r="A40" s="31" t="n">
        <v>6000</v>
      </c>
      <c r="B40" s="71">
        <f>IF($A40="","",MAX(0,($B$24-$B$16)*0.052*$A40))</f>
        <v/>
      </c>
      <c r="C40" s="71">
        <f>IF($A40="","",MAX(0,($B$16-$B$25)*0.052*$A40))</f>
        <v/>
      </c>
      <c r="D40" s="71">
        <f>IF($A40="","",MIN($B$27,MAX(0,(B40-$A40*$B$18/(200*($B$10-$B$11)))*60000*($B$10-$B$11)^2/($A40*$B$17*$B$13))))</f>
        <v/>
      </c>
      <c r="E40" s="71">
        <f>IF($A40="","",MIN($B$27,MAX(0,(C40-$A40*$B$18/(200*($B$10-$B$11)))*60000*($B$10-$B$11)^2/($A40*$B$17*$B$13))))</f>
        <v/>
      </c>
      <c r="F40" s="71">
        <f>IF($A40="","",IF(D40&lt;=0,"-",93/D40*60))</f>
        <v/>
      </c>
      <c r="G40" s="71">
        <f>IF($A40="","",IF(E40&lt;=0,"-",93/E40*60))</f>
        <v/>
      </c>
      <c r="H40" s="99">
        <f>IF($A40="",NA(),D40)</f>
        <v/>
      </c>
      <c r="I40" s="99">
        <f>IF($A40="",NA(),E40)</f>
        <v/>
      </c>
      <c r="J40" s="99">
        <f>IF($A40="",NA(),$A40)</f>
        <v/>
      </c>
    </row>
    <row r="41">
      <c r="A41" s="31" t="n">
        <v>7000</v>
      </c>
      <c r="B41" s="71">
        <f>IF($A41="","",MAX(0,($B$24-$B$16)*0.052*$A41))</f>
        <v/>
      </c>
      <c r="C41" s="71">
        <f>IF($A41="","",MAX(0,($B$16-$B$25)*0.052*$A41))</f>
        <v/>
      </c>
      <c r="D41" s="71">
        <f>IF($A41="","",MIN($B$27,MAX(0,(B41-$A41*$B$18/(200*($B$10-$B$11)))*60000*($B$10-$B$11)^2/($A41*$B$17*$B$13))))</f>
        <v/>
      </c>
      <c r="E41" s="71">
        <f>IF($A41="","",MIN($B$27,MAX(0,(C41-$A41*$B$18/(200*($B$10-$B$11)))*60000*($B$10-$B$11)^2/($A41*$B$17*$B$13))))</f>
        <v/>
      </c>
      <c r="F41" s="71">
        <f>IF($A41="","",IF(D41&lt;=0,"-",93/D41*60))</f>
        <v/>
      </c>
      <c r="G41" s="71">
        <f>IF($A41="","",IF(E41&lt;=0,"-",93/E41*60))</f>
        <v/>
      </c>
      <c r="H41" s="99">
        <f>IF($A41="",NA(),D41)</f>
        <v/>
      </c>
      <c r="I41" s="99">
        <f>IF($A41="",NA(),E41)</f>
        <v/>
      </c>
      <c r="J41" s="99">
        <f>IF($A41="",NA(),$A41)</f>
        <v/>
      </c>
    </row>
    <row r="42">
      <c r="A42" s="31" t="n">
        <v>8000</v>
      </c>
      <c r="B42" s="71">
        <f>IF($A42="","",MAX(0,($B$24-$B$16)*0.052*$A42))</f>
        <v/>
      </c>
      <c r="C42" s="71">
        <f>IF($A42="","",MAX(0,($B$16-$B$25)*0.052*$A42))</f>
        <v/>
      </c>
      <c r="D42" s="71">
        <f>IF($A42="","",MIN($B$27,MAX(0,(B42-$A42*$B$18/(200*($B$10-$B$11)))*60000*($B$10-$B$11)^2/($A42*$B$17*$B$13))))</f>
        <v/>
      </c>
      <c r="E42" s="71">
        <f>IF($A42="","",MIN($B$27,MAX(0,(C42-$A42*$B$18/(200*($B$10-$B$11)))*60000*($B$10-$B$11)^2/($A42*$B$17*$B$13))))</f>
        <v/>
      </c>
      <c r="F42" s="71">
        <f>IF($A42="","",IF(D42&lt;=0,"-",93/D42*60))</f>
        <v/>
      </c>
      <c r="G42" s="71">
        <f>IF($A42="","",IF(E42&lt;=0,"-",93/E42*60))</f>
        <v/>
      </c>
      <c r="H42" s="99">
        <f>IF($A42="",NA(),D42)</f>
        <v/>
      </c>
      <c r="I42" s="99">
        <f>IF($A42="",NA(),E42)</f>
        <v/>
      </c>
      <c r="J42" s="99">
        <f>IF($A42="",NA(),$A42)</f>
        <v/>
      </c>
    </row>
    <row r="43">
      <c r="A43" s="31" t="n">
        <v>9000</v>
      </c>
      <c r="B43" s="71">
        <f>IF($A43="","",MAX(0,($B$24-$B$16)*0.052*$A43))</f>
        <v/>
      </c>
      <c r="C43" s="71">
        <f>IF($A43="","",MAX(0,($B$16-$B$25)*0.052*$A43))</f>
        <v/>
      </c>
      <c r="D43" s="71">
        <f>IF($A43="","",MIN($B$27,MAX(0,(B43-$A43*$B$18/(200*($B$10-$B$11)))*60000*($B$10-$B$11)^2/($A43*$B$17*$B$13))))</f>
        <v/>
      </c>
      <c r="E43" s="71">
        <f>IF($A43="","",MIN($B$27,MAX(0,(C43-$A43*$B$18/(200*($B$10-$B$11)))*60000*($B$10-$B$11)^2/($A43*$B$17*$B$13))))</f>
        <v/>
      </c>
      <c r="F43" s="71">
        <f>IF($A43="","",IF(D43&lt;=0,"-",93/D43*60))</f>
        <v/>
      </c>
      <c r="G43" s="71">
        <f>IF($A43="","",IF(E43&lt;=0,"-",93/E43*60))</f>
        <v/>
      </c>
      <c r="H43" s="99">
        <f>IF($A43="",NA(),D43)</f>
        <v/>
      </c>
      <c r="I43" s="99">
        <f>IF($A43="",NA(),E43)</f>
        <v/>
      </c>
      <c r="J43" s="99">
        <f>IF($A43="",NA(),$A43)</f>
        <v/>
      </c>
    </row>
    <row r="44">
      <c r="A44" s="31" t="n">
        <v>10000</v>
      </c>
      <c r="B44" s="71">
        <f>IF($A44="","",MAX(0,($B$24-$B$16)*0.052*$A44))</f>
        <v/>
      </c>
      <c r="C44" s="71">
        <f>IF($A44="","",MAX(0,($B$16-$B$25)*0.052*$A44))</f>
        <v/>
      </c>
      <c r="D44" s="71">
        <f>IF($A44="","",MIN($B$27,MAX(0,(B44-$A44*$B$18/(200*($B$10-$B$11)))*60000*($B$10-$B$11)^2/($A44*$B$17*$B$13))))</f>
        <v/>
      </c>
      <c r="E44" s="71">
        <f>IF($A44="","",MIN($B$27,MAX(0,(C44-$A44*$B$18/(200*($B$10-$B$11)))*60000*($B$10-$B$11)^2/($A44*$B$17*$B$13))))</f>
        <v/>
      </c>
      <c r="F44" s="71">
        <f>IF($A44="","",IF(D44&lt;=0,"-",93/D44*60))</f>
        <v/>
      </c>
      <c r="G44" s="71">
        <f>IF($A44="","",IF(E44&lt;=0,"-",93/E44*60))</f>
        <v/>
      </c>
      <c r="H44" s="99">
        <f>IF($A44="",NA(),D44)</f>
        <v/>
      </c>
      <c r="I44" s="99">
        <f>IF($A44="",NA(),E44)</f>
        <v/>
      </c>
      <c r="J44" s="99">
        <f>IF($A44="",NA(),$A44)</f>
        <v/>
      </c>
    </row>
    <row r="45">
      <c r="A45" s="31" t="n">
        <v>11000</v>
      </c>
      <c r="B45" s="71">
        <f>IF($A45="","",MAX(0,($B$24-$B$16)*0.052*$A45))</f>
        <v/>
      </c>
      <c r="C45" s="71">
        <f>IF($A45="","",MAX(0,($B$16-$B$25)*0.052*$A45))</f>
        <v/>
      </c>
      <c r="D45" s="71">
        <f>IF($A45="","",MIN($B$27,MAX(0,(B45-$A45*$B$18/(200*($B$10-$B$11)))*60000*($B$10-$B$11)^2/($A45*$B$17*$B$13))))</f>
        <v/>
      </c>
      <c r="E45" s="71">
        <f>IF($A45="","",MIN($B$27,MAX(0,(C45-$A45*$B$18/(200*($B$10-$B$11)))*60000*($B$10-$B$11)^2/($A45*$B$17*$B$13))))</f>
        <v/>
      </c>
      <c r="F45" s="71">
        <f>IF($A45="","",IF(D45&lt;=0,"-",93/D45*60))</f>
        <v/>
      </c>
      <c r="G45" s="71">
        <f>IF($A45="","",IF(E45&lt;=0,"-",93/E45*60))</f>
        <v/>
      </c>
      <c r="H45" s="99">
        <f>IF($A45="",NA(),D45)</f>
        <v/>
      </c>
      <c r="I45" s="99">
        <f>IF($A45="",NA(),E45)</f>
        <v/>
      </c>
      <c r="J45" s="99">
        <f>IF($A45="",NA(),$A45)</f>
        <v/>
      </c>
    </row>
    <row r="46">
      <c r="A46" s="31" t="n">
        <v>12000</v>
      </c>
      <c r="B46" s="71">
        <f>IF($A46="","",MAX(0,($B$24-$B$16)*0.052*$A46))</f>
        <v/>
      </c>
      <c r="C46" s="71">
        <f>IF($A46="","",MAX(0,($B$16-$B$25)*0.052*$A46))</f>
        <v/>
      </c>
      <c r="D46" s="71">
        <f>IF($A46="","",MIN($B$27,MAX(0,(B46-$A46*$B$18/(200*($B$10-$B$11)))*60000*($B$10-$B$11)^2/($A46*$B$17*$B$13))))</f>
        <v/>
      </c>
      <c r="E46" s="71">
        <f>IF($A46="","",MIN($B$27,MAX(0,(C46-$A46*$B$18/(200*($B$10-$B$11)))*60000*($B$10-$B$11)^2/($A46*$B$17*$B$13))))</f>
        <v/>
      </c>
      <c r="F46" s="71">
        <f>IF($A46="","",IF(D46&lt;=0,"-",93/D46*60))</f>
        <v/>
      </c>
      <c r="G46" s="71">
        <f>IF($A46="","",IF(E46&lt;=0,"-",93/E46*60))</f>
        <v/>
      </c>
      <c r="H46" s="99">
        <f>IF($A46="",NA(),D46)</f>
        <v/>
      </c>
      <c r="I46" s="99">
        <f>IF($A46="",NA(),E46)</f>
        <v/>
      </c>
      <c r="J46" s="99">
        <f>IF($A46="",NA(),$A46)</f>
        <v/>
      </c>
    </row>
    <row r="47">
      <c r="A47" s="9" t="inlineStr">
        <is>
          <t>* helper columns H-J feed the speed chart - do not edit. #N/A on unused rows by design (chart gaps).</t>
        </is>
      </c>
    </row>
    <row r="48">
      <c r="A48" s="9" t="inlineStr">
        <is>
          <t>Crews should round speeds DOWN and time the fastest stand, not the average - peak speed within a stand can be 1.5-2x the average.</t>
        </is>
      </c>
    </row>
    <row r="49">
      <c r="A49" s="9" t="inlineStr">
        <is>
          <t>Closed-ended (float/bullnose) is shown - worst case. Open-ended pipe displaces less fluid and allows faster tripping; a speed of 0 or '-' means the margin is gone at that depth on this mud.</t>
        </is>
      </c>
    </row>
  </sheetData>
  <sheetProtection selectLockedCells="0" selectUnlockedCells="0" sheet="1" objects="0" insertRows="1" insertHyperlinks="1" autoFilter="1" scenarios="0" formatColumns="0" deleteColumns="1" insertColumns="1" pivotTables="1" deleteRows="1" formatCells="1" formatRows="0" sort="1"/>
  <mergeCells count="5">
    <mergeCell ref="A2:F2"/>
    <mergeCell ref="A33:F33"/>
    <mergeCell ref="A1:F1"/>
    <mergeCell ref="A6:F6"/>
    <mergeCell ref="A20:F20"/>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tabColor rgb="002E75B6"/>
    <outlinePr summaryBelow="1" summaryRight="1"/>
    <pageSetUpPr/>
  </sheetPr>
  <dimension ref="A1:K69"/>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 width="10" customWidth="1" min="7" max="7"/>
    <col width="10" customWidth="1" min="8" max="8"/>
    <col width="10" customWidth="1" min="9" max="9"/>
    <col width="10" customWidth="1" min="10" max="10"/>
    <col width="10" customWidth="1" min="11" max="11"/>
  </cols>
  <sheetData>
    <row r="1" ht="26" customHeight="1">
      <c r="A1" s="19" t="inlineStr">
        <is>
          <t>Pore &amp; Fracture Pressure - Drilling Window</t>
        </is>
      </c>
      <c r="B1" s="2" t="n"/>
      <c r="C1" s="2" t="n"/>
      <c r="D1" s="2" t="n"/>
      <c r="E1" s="2" t="n"/>
      <c r="F1" s="2" t="n"/>
    </row>
    <row r="2">
      <c r="A2" s="20" t="inlineStr">
        <is>
          <t>Eaton pore pressure, Eaton / Hubbert &amp; Willis fracture gradient with LOT calibration, depth-table drilling window plot and shoe kick tolerance</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Overburden &amp; Eaton Pore Pressure</t>
        </is>
      </c>
      <c r="B6" s="24" t="n"/>
      <c r="C6" s="24" t="n"/>
      <c r="D6" s="24" t="n"/>
      <c r="E6" s="24" t="n"/>
      <c r="F6" s="24" t="n"/>
    </row>
    <row r="8">
      <c r="A8" s="25" t="inlineStr">
        <is>
          <t>Eaton Pore Pressure from Trend Ratio</t>
        </is>
      </c>
      <c r="B8" s="26" t="n"/>
      <c r="C8" s="26" t="n"/>
      <c r="D8" s="26" t="n"/>
      <c r="E8" s="26" t="n"/>
      <c r="F8" s="49" t="inlineStr">
        <is>
          <t>PP_grad = OBG - (OBG - PN) x R^n</t>
        </is>
      </c>
    </row>
    <row r="9">
      <c r="A9" t="inlineStr"/>
      <c r="F9" s="27" t="inlineStr">
        <is>
          <t>R = dt_normal/dt_observed (sonic form) or R_observed/R_normal (resistivity form) - both arranged so R &lt; 1 means overpressure. n = 3.0 is the classic Eaton exponent for both forms (use ~1.2 for the d-exponent form).</t>
        </is>
      </c>
    </row>
    <row r="10">
      <c r="A10" s="28" t="inlineStr">
        <is>
          <t>Depth of interest TVD</t>
        </is>
      </c>
      <c r="B10" s="64">
        <f>WD_TVD</f>
        <v/>
      </c>
      <c r="C10" s="30" t="inlineStr">
        <is>
          <t>ft</t>
        </is>
      </c>
      <c r="D10" s="32">
        <f>IFERROR($B$10*0.3048,NA())</f>
        <v/>
      </c>
      <c r="E10" s="30" t="inlineStr">
        <is>
          <t>m</t>
        </is>
      </c>
      <c r="F10" s="27" t="inlineStr">
        <is>
          <t>Linked to Well Data sheet - overwrite locally if this well differs.</t>
        </is>
      </c>
    </row>
    <row r="11">
      <c r="A11" s="28" t="inlineStr">
        <is>
          <t>Overburden gradient (OBG)</t>
        </is>
      </c>
      <c r="B11" s="33" t="n">
        <v>1</v>
      </c>
      <c r="C11" s="30" t="inlineStr">
        <is>
          <t>psi/ft</t>
        </is>
      </c>
      <c r="D11" s="34">
        <f>IFERROR($B$11*22.62059,NA())</f>
        <v/>
      </c>
      <c r="E11" s="30" t="inlineStr">
        <is>
          <t>kPa/m</t>
        </is>
      </c>
      <c r="F11" s="27" t="inlineStr">
        <is>
          <t>1.0 psi/ft is a common onshore default; integrate density logs offshore.</t>
        </is>
      </c>
    </row>
    <row r="12">
      <c r="A12" s="28" t="inlineStr">
        <is>
          <t>Normal pore gradient (PN)</t>
        </is>
      </c>
      <c r="B12" s="33" t="n">
        <v>0.465</v>
      </c>
      <c r="C12" s="30" t="inlineStr">
        <is>
          <t>psi/ft</t>
        </is>
      </c>
      <c r="D12" s="34">
        <f>IFERROR($B$12*22.62059,NA())</f>
        <v/>
      </c>
      <c r="E12" s="30" t="inlineStr">
        <is>
          <t>kPa/m</t>
        </is>
      </c>
    </row>
    <row r="13">
      <c r="A13" s="28" t="inlineStr">
        <is>
          <t>Eaton exponent (n)</t>
        </is>
      </c>
      <c r="B13" s="37" t="n">
        <v>3</v>
      </c>
      <c r="C13" s="30" t="inlineStr"/>
    </row>
    <row r="14">
      <c r="A14" s="28" t="inlineStr">
        <is>
          <t>Observed/normal trend ratio (R)</t>
        </is>
      </c>
      <c r="B14" s="41" t="n">
        <v>0.9</v>
      </c>
      <c r="C14" s="30" t="inlineStr"/>
    </row>
    <row r="15">
      <c r="A15" s="28" t="inlineStr">
        <is>
          <t>Pore pressure gradient</t>
        </is>
      </c>
      <c r="B15" s="50">
        <f>$B$11-($B$11-$B$12)*$B$14^$B$13</f>
        <v/>
      </c>
      <c r="C15" s="30" t="inlineStr">
        <is>
          <t>psi/ft</t>
        </is>
      </c>
      <c r="D15" s="34">
        <f>IFERROR($B$15*22.62059,NA())</f>
        <v/>
      </c>
      <c r="E15" s="30" t="inlineStr">
        <is>
          <t>kPa/m</t>
        </is>
      </c>
    </row>
    <row r="16">
      <c r="A16" s="28" t="inlineStr">
        <is>
          <t>Pore pressure at depth</t>
        </is>
      </c>
      <c r="B16" s="59">
        <f>$B$15*$B$10</f>
        <v/>
      </c>
      <c r="C16" s="30" t="inlineStr">
        <is>
          <t>psi</t>
        </is>
      </c>
      <c r="D16" s="32">
        <f>IFERROR($B$16*6.894757,NA())</f>
        <v/>
      </c>
      <c r="E16" s="30" t="inlineStr">
        <is>
          <t>kPa</t>
        </is>
      </c>
    </row>
    <row r="17">
      <c r="A17" s="28" t="inlineStr">
        <is>
          <t>Pore pressure EMW</t>
        </is>
      </c>
      <c r="B17" s="51">
        <f>$B$15/0.052</f>
        <v/>
      </c>
      <c r="C17" s="30" t="inlineStr">
        <is>
          <t>ppg</t>
        </is>
      </c>
      <c r="D17" s="42">
        <f>IFERROR($B$17*119.8264,NA())</f>
        <v/>
      </c>
      <c r="E17" s="30" t="inlineStr">
        <is>
          <t>kg/m3</t>
        </is>
      </c>
    </row>
    <row r="19" ht="20" customHeight="1">
      <c r="A19" s="23" t="inlineStr">
        <is>
          <t>Fracture Gradient</t>
        </is>
      </c>
      <c r="B19" s="24" t="n"/>
      <c r="C19" s="24" t="n"/>
      <c r="D19" s="24" t="n"/>
      <c r="E19" s="24" t="n"/>
      <c r="F19" s="24" t="n"/>
    </row>
    <row r="21">
      <c r="A21" s="25" t="inlineStr">
        <is>
          <t>Fracture Gradient (Eaton / Hubbert &amp; Willis)</t>
        </is>
      </c>
      <c r="B21" s="26" t="n"/>
      <c r="C21" s="26" t="n"/>
      <c r="D21" s="26" t="n"/>
      <c r="E21" s="26" t="n"/>
      <c r="F21" s="49" t="inlineStr">
        <is>
          <t>Eaton: FG = (PR/(1-PR)) x (OBG - PP_grad) + PP_grad;   H&amp;W minimum: FG_min = (OBG + 2 x PP_grad)/3</t>
        </is>
      </c>
    </row>
    <row r="22">
      <c r="A22" t="inlineStr"/>
      <c r="F22" s="27" t="inlineStr">
        <is>
          <t>Both are estimates - always calibrate against LOT/FIT or minifrac data from the actual area before relying on the window.</t>
        </is>
      </c>
    </row>
    <row r="23">
      <c r="A23" s="28" t="inlineStr">
        <is>
          <t>Poisson ratio (PR)</t>
        </is>
      </c>
      <c r="B23" s="41" t="n">
        <v>0.25</v>
      </c>
      <c r="C23" s="30" t="inlineStr"/>
      <c r="F23" s="27" t="inlineStr">
        <is>
          <t>Typical 0.20-0.30 for shale; higher for unconsolidated sediments.</t>
        </is>
      </c>
    </row>
    <row r="24">
      <c r="A24" s="28" t="inlineStr">
        <is>
          <t>Eaton fracture gradient</t>
        </is>
      </c>
      <c r="B24" s="50">
        <f>($B$23/(1-$B$23))*($B$11-$B$15)+$B$15</f>
        <v/>
      </c>
      <c r="C24" s="30" t="inlineStr">
        <is>
          <t>psi/ft</t>
        </is>
      </c>
      <c r="D24" s="34">
        <f>IFERROR($B$24*22.62059,NA())</f>
        <v/>
      </c>
      <c r="E24" s="30" t="inlineStr">
        <is>
          <t>kPa/m</t>
        </is>
      </c>
    </row>
    <row r="25">
      <c r="A25" s="28" t="inlineStr">
        <is>
          <t>Eaton fracture EMW</t>
        </is>
      </c>
      <c r="B25" s="51">
        <f>$B$24/0.052</f>
        <v/>
      </c>
      <c r="C25" s="30" t="inlineStr">
        <is>
          <t>ppg</t>
        </is>
      </c>
      <c r="D25" s="42">
        <f>IFERROR($B$25*119.8264,NA())</f>
        <v/>
      </c>
      <c r="E25" s="30" t="inlineStr">
        <is>
          <t>kg/m3</t>
        </is>
      </c>
    </row>
    <row r="26">
      <c r="A26" s="28" t="inlineStr">
        <is>
          <t>Hubbert &amp; Willis minimum FG</t>
        </is>
      </c>
      <c r="B26" s="50">
        <f>($B$11+2*$B$15)/3</f>
        <v/>
      </c>
      <c r="C26" s="30" t="inlineStr">
        <is>
          <t>psi/ft</t>
        </is>
      </c>
      <c r="D26" s="34">
        <f>IFERROR($B$26*22.62059,NA())</f>
        <v/>
      </c>
      <c r="E26" s="30" t="inlineStr">
        <is>
          <t>kPa/m</t>
        </is>
      </c>
    </row>
    <row r="27">
      <c r="A27" s="28" t="inlineStr">
        <is>
          <t>Hubbert &amp; Willis minimum EMW</t>
        </is>
      </c>
      <c r="B27" s="51">
        <f>$B$26/0.052</f>
        <v/>
      </c>
      <c r="C27" s="30" t="inlineStr">
        <is>
          <t>ppg</t>
        </is>
      </c>
      <c r="D27" s="42">
        <f>IFERROR($B$27*119.8264,NA())</f>
        <v/>
      </c>
      <c r="E27" s="30" t="inlineStr">
        <is>
          <t>kg/m3</t>
        </is>
      </c>
    </row>
    <row r="28">
      <c r="A28" s="28" t="inlineStr">
        <is>
          <t>LOT / FIT EMW (measured)</t>
        </is>
      </c>
      <c r="B28" s="63">
        <f>WD_LOT</f>
        <v/>
      </c>
      <c r="C28" s="30" t="inlineStr">
        <is>
          <t>ppg</t>
        </is>
      </c>
      <c r="D28" s="36">
        <f>IFERROR($B$28*119.8264,NA())</f>
        <v/>
      </c>
      <c r="E28" s="30" t="inlineStr">
        <is>
          <t>kg/m3</t>
        </is>
      </c>
      <c r="F28" s="27" t="inlineStr">
        <is>
          <t>Linked to Well Data sheet - overwrite locally if this well differs.</t>
        </is>
      </c>
    </row>
    <row r="29">
      <c r="A29" s="28" t="inlineStr">
        <is>
          <t>Calibration check</t>
        </is>
      </c>
      <c r="B29" s="72">
        <f>IF(ABS($B$28-$B$25)&lt;=0.5,"OK - matches LOT within 0.5 ppg","CHECK: calibrate to LOT/minifrac")</f>
        <v/>
      </c>
      <c r="C29" s="30" t="inlineStr"/>
    </row>
    <row r="31" ht="20" customHeight="1">
      <c r="A31" s="23" t="inlineStr">
        <is>
          <t>Drilling Window vs Depth</t>
        </is>
      </c>
      <c r="B31" s="24" t="n"/>
      <c r="C31" s="24" t="n"/>
      <c r="D31" s="24" t="n"/>
      <c r="E31" s="24" t="n"/>
      <c r="F31" s="24" t="n"/>
    </row>
    <row r="33">
      <c r="A33" s="25" t="inlineStr">
        <is>
          <t>Current Mud &amp; ECD (for the window plot)</t>
        </is>
      </c>
      <c r="B33" s="26" t="n"/>
      <c r="C33" s="26" t="n"/>
      <c r="D33" s="26" t="n"/>
      <c r="E33" s="26" t="n"/>
      <c r="F33" s="49" t="inlineStr">
        <is>
          <t>ECD = MW + APL / (0.052 x TVD)</t>
        </is>
      </c>
    </row>
    <row r="34">
      <c r="A34" t="inlineStr"/>
      <c r="F34" s="27" t="inlineStr">
        <is>
          <t>APL at full circulating rate. A constant APL overstates ECD at shallow depths - refine per-section on the Hydraulics sheet.</t>
        </is>
      </c>
    </row>
    <row r="35">
      <c r="A35" s="28" t="inlineStr">
        <is>
          <t>Current mud weight (MW)</t>
        </is>
      </c>
      <c r="B35" s="63">
        <f>WD_OMW</f>
        <v/>
      </c>
      <c r="C35" s="30" t="inlineStr">
        <is>
          <t>ppg</t>
        </is>
      </c>
      <c r="D35" s="36">
        <f>IFERROR($B$35*119.8264,NA())</f>
        <v/>
      </c>
      <c r="E35" s="30" t="inlineStr">
        <is>
          <t>kg/m3</t>
        </is>
      </c>
      <c r="F35" s="27" t="inlineStr">
        <is>
          <t>Linked to Well Data sheet - overwrite locally if this well differs.</t>
        </is>
      </c>
    </row>
    <row r="36">
      <c r="A36" s="28" t="inlineStr">
        <is>
          <t>Annular pressure loss (APL)</t>
        </is>
      </c>
      <c r="B36" s="31" t="n">
        <v>200</v>
      </c>
      <c r="C36" s="30" t="inlineStr">
        <is>
          <t>psi</t>
        </is>
      </c>
      <c r="D36" s="32">
        <f>IFERROR($B$36*6.894757,NA())</f>
        <v/>
      </c>
      <c r="E36" s="30" t="inlineStr">
        <is>
          <t>kPa</t>
        </is>
      </c>
    </row>
    <row r="38">
      <c r="A38" s="89" t="inlineStr">
        <is>
          <t>Depth Table - enter TVD / pore EMW / frac EMW per row (yellow); MW and ECD compute from the block above</t>
        </is>
      </c>
      <c r="B38" s="24" t="n"/>
      <c r="C38" s="24" t="n"/>
      <c r="D38" s="24" t="n"/>
      <c r="E38" s="24" t="n"/>
      <c r="F38" s="24" t="n"/>
    </row>
    <row r="39">
      <c r="A39" s="66" t="inlineStr">
        <is>
          <t>TVD (ft)</t>
        </is>
      </c>
      <c r="B39" s="67" t="inlineStr">
        <is>
          <t>Pore EMW (ppg)</t>
        </is>
      </c>
      <c r="C39" s="67" t="inlineStr">
        <is>
          <t>Frac EMW (ppg)</t>
        </is>
      </c>
      <c r="D39" s="67" t="inlineStr">
        <is>
          <t>MW (ppg)</t>
        </is>
      </c>
      <c r="E39" s="67" t="inlineStr">
        <is>
          <t>ECD (ppg)</t>
        </is>
      </c>
      <c r="G39" s="67" t="inlineStr">
        <is>
          <t>TVDh*</t>
        </is>
      </c>
      <c r="H39" s="67" t="inlineStr">
        <is>
          <t>POREh*</t>
        </is>
      </c>
      <c r="I39" s="67" t="inlineStr">
        <is>
          <t>FRACh*</t>
        </is>
      </c>
      <c r="J39" s="67" t="inlineStr">
        <is>
          <t>MWh*</t>
        </is>
      </c>
      <c r="K39" s="67" t="inlineStr">
        <is>
          <t>ECDh*</t>
        </is>
      </c>
    </row>
    <row r="40">
      <c r="A40" s="31" t="n">
        <v>1000</v>
      </c>
      <c r="B40" s="41" t="n">
        <v>8.9</v>
      </c>
      <c r="C40" s="41" t="n">
        <v>12</v>
      </c>
      <c r="D40" s="70">
        <f>IF($A40="","",$B$35)</f>
        <v/>
      </c>
      <c r="E40" s="70">
        <f>IF($A40="","",$B$35+$B$36/(0.052*$A40))</f>
        <v/>
      </c>
      <c r="G40" s="100">
        <f>IF($A40="",NA(),$A40)</f>
        <v/>
      </c>
      <c r="H40" s="100">
        <f>IF(OR($A40="",$B40=""),NA(),$B40)</f>
        <v/>
      </c>
      <c r="I40" s="100">
        <f>IF(OR($A40="",$C40=""),NA(),$C40)</f>
        <v/>
      </c>
      <c r="J40" s="100">
        <f>IF($A40="",NA(),D40)</f>
        <v/>
      </c>
      <c r="K40" s="100">
        <f>IF($A40="",NA(),E40)</f>
        <v/>
      </c>
    </row>
    <row r="41">
      <c r="A41" s="31" t="n">
        <v>1500</v>
      </c>
      <c r="B41" s="41" t="n">
        <v>8.9</v>
      </c>
      <c r="C41" s="41" t="n">
        <v>12.4</v>
      </c>
      <c r="D41" s="70">
        <f>IF($A41="","",$B$35)</f>
        <v/>
      </c>
      <c r="E41" s="70">
        <f>IF($A41="","",$B$35+$B$36/(0.052*$A41))</f>
        <v/>
      </c>
      <c r="G41" s="100">
        <f>IF($A41="",NA(),$A41)</f>
        <v/>
      </c>
      <c r="H41" s="100">
        <f>IF(OR($A41="",$B41=""),NA(),$B41)</f>
        <v/>
      </c>
      <c r="I41" s="100">
        <f>IF(OR($A41="",$C41=""),NA(),$C41)</f>
        <v/>
      </c>
      <c r="J41" s="100">
        <f>IF($A41="",NA(),D41)</f>
        <v/>
      </c>
      <c r="K41" s="100">
        <f>IF($A41="",NA(),E41)</f>
        <v/>
      </c>
    </row>
    <row r="42">
      <c r="A42" s="31" t="n">
        <v>2000</v>
      </c>
      <c r="B42" s="41" t="n">
        <v>8.9</v>
      </c>
      <c r="C42" s="41" t="n">
        <v>12.8</v>
      </c>
      <c r="D42" s="70">
        <f>IF($A42="","",$B$35)</f>
        <v/>
      </c>
      <c r="E42" s="70">
        <f>IF($A42="","",$B$35+$B$36/(0.052*$A42))</f>
        <v/>
      </c>
      <c r="G42" s="100">
        <f>IF($A42="",NA(),$A42)</f>
        <v/>
      </c>
      <c r="H42" s="100">
        <f>IF(OR($A42="",$B42=""),NA(),$B42)</f>
        <v/>
      </c>
      <c r="I42" s="100">
        <f>IF(OR($A42="",$C42=""),NA(),$C42)</f>
        <v/>
      </c>
      <c r="J42" s="100">
        <f>IF($A42="",NA(),D42)</f>
        <v/>
      </c>
      <c r="K42" s="100">
        <f>IF($A42="",NA(),E42)</f>
        <v/>
      </c>
    </row>
    <row r="43">
      <c r="A43" s="31" t="n">
        <v>2500</v>
      </c>
      <c r="B43" s="41" t="n">
        <v>8.9</v>
      </c>
      <c r="C43" s="41" t="n">
        <v>13.1</v>
      </c>
      <c r="D43" s="70">
        <f>IF($A43="","",$B$35)</f>
        <v/>
      </c>
      <c r="E43" s="70">
        <f>IF($A43="","",$B$35+$B$36/(0.052*$A43))</f>
        <v/>
      </c>
      <c r="G43" s="100">
        <f>IF($A43="",NA(),$A43)</f>
        <v/>
      </c>
      <c r="H43" s="100">
        <f>IF(OR($A43="",$B43=""),NA(),$B43)</f>
        <v/>
      </c>
      <c r="I43" s="100">
        <f>IF(OR($A43="",$C43=""),NA(),$C43)</f>
        <v/>
      </c>
      <c r="J43" s="100">
        <f>IF($A43="",NA(),D43)</f>
        <v/>
      </c>
      <c r="K43" s="100">
        <f>IF($A43="",NA(),E43)</f>
        <v/>
      </c>
    </row>
    <row r="44">
      <c r="A44" s="31" t="n">
        <v>3000</v>
      </c>
      <c r="B44" s="41" t="n">
        <v>9</v>
      </c>
      <c r="C44" s="41" t="n">
        <v>13.4</v>
      </c>
      <c r="D44" s="70">
        <f>IF($A44="","",$B$35)</f>
        <v/>
      </c>
      <c r="E44" s="70">
        <f>IF($A44="","",$B$35+$B$36/(0.052*$A44))</f>
        <v/>
      </c>
      <c r="G44" s="100">
        <f>IF($A44="",NA(),$A44)</f>
        <v/>
      </c>
      <c r="H44" s="100">
        <f>IF(OR($A44="",$B44=""),NA(),$B44)</f>
        <v/>
      </c>
      <c r="I44" s="100">
        <f>IF(OR($A44="",$C44=""),NA(),$C44)</f>
        <v/>
      </c>
      <c r="J44" s="100">
        <f>IF($A44="",NA(),D44)</f>
        <v/>
      </c>
      <c r="K44" s="100">
        <f>IF($A44="",NA(),E44)</f>
        <v/>
      </c>
    </row>
    <row r="45">
      <c r="A45" s="31" t="n">
        <v>3500</v>
      </c>
      <c r="B45" s="41" t="n">
        <v>9.199999999999999</v>
      </c>
      <c r="C45" s="41" t="n">
        <v>13.7</v>
      </c>
      <c r="D45" s="70">
        <f>IF($A45="","",$B$35)</f>
        <v/>
      </c>
      <c r="E45" s="70">
        <f>IF($A45="","",$B$35+$B$36/(0.052*$A45))</f>
        <v/>
      </c>
      <c r="G45" s="100">
        <f>IF($A45="",NA(),$A45)</f>
        <v/>
      </c>
      <c r="H45" s="100">
        <f>IF(OR($A45="",$B45=""),NA(),$B45)</f>
        <v/>
      </c>
      <c r="I45" s="100">
        <f>IF(OR($A45="",$C45=""),NA(),$C45)</f>
        <v/>
      </c>
      <c r="J45" s="100">
        <f>IF($A45="",NA(),D45)</f>
        <v/>
      </c>
      <c r="K45" s="100">
        <f>IF($A45="",NA(),E45)</f>
        <v/>
      </c>
    </row>
    <row r="46">
      <c r="A46" s="31" t="n">
        <v>4000</v>
      </c>
      <c r="B46" s="41" t="n">
        <v>9.6</v>
      </c>
      <c r="C46" s="41" t="n">
        <v>14</v>
      </c>
      <c r="D46" s="70">
        <f>IF($A46="","",$B$35)</f>
        <v/>
      </c>
      <c r="E46" s="70">
        <f>IF($A46="","",$B$35+$B$36/(0.052*$A46))</f>
        <v/>
      </c>
      <c r="G46" s="100">
        <f>IF($A46="",NA(),$A46)</f>
        <v/>
      </c>
      <c r="H46" s="100">
        <f>IF(OR($A46="",$B46=""),NA(),$B46)</f>
        <v/>
      </c>
      <c r="I46" s="100">
        <f>IF(OR($A46="",$C46=""),NA(),$C46)</f>
        <v/>
      </c>
      <c r="J46" s="100">
        <f>IF($A46="",NA(),D46)</f>
        <v/>
      </c>
      <c r="K46" s="100">
        <f>IF($A46="",NA(),E46)</f>
        <v/>
      </c>
    </row>
    <row r="47">
      <c r="A47" s="31" t="n">
        <v>4250</v>
      </c>
      <c r="B47" s="41" t="n">
        <v>10.2</v>
      </c>
      <c r="C47" s="41" t="n">
        <v>14.2</v>
      </c>
      <c r="D47" s="70">
        <f>IF($A47="","",$B$35)</f>
        <v/>
      </c>
      <c r="E47" s="70">
        <f>IF($A47="","",$B$35+$B$36/(0.052*$A47))</f>
        <v/>
      </c>
      <c r="G47" s="100">
        <f>IF($A47="",NA(),$A47)</f>
        <v/>
      </c>
      <c r="H47" s="100">
        <f>IF(OR($A47="",$B47=""),NA(),$B47)</f>
        <v/>
      </c>
      <c r="I47" s="100">
        <f>IF(OR($A47="",$C47=""),NA(),$C47)</f>
        <v/>
      </c>
      <c r="J47" s="100">
        <f>IF($A47="",NA(),D47)</f>
        <v/>
      </c>
      <c r="K47" s="100">
        <f>IF($A47="",NA(),E47)</f>
        <v/>
      </c>
    </row>
    <row r="48">
      <c r="A48" s="31" t="n">
        <v>4500</v>
      </c>
      <c r="B48" s="41" t="n">
        <v>11</v>
      </c>
      <c r="C48" s="41" t="n">
        <v>14.4</v>
      </c>
      <c r="D48" s="70">
        <f>IF($A48="","",$B$35)</f>
        <v/>
      </c>
      <c r="E48" s="70">
        <f>IF($A48="","",$B$35+$B$36/(0.052*$A48))</f>
        <v/>
      </c>
      <c r="G48" s="100">
        <f>IF($A48="",NA(),$A48)</f>
        <v/>
      </c>
      <c r="H48" s="100">
        <f>IF(OR($A48="",$B48=""),NA(),$B48)</f>
        <v/>
      </c>
      <c r="I48" s="100">
        <f>IF(OR($A48="",$C48=""),NA(),$C48)</f>
        <v/>
      </c>
      <c r="J48" s="100">
        <f>IF($A48="",NA(),D48)</f>
        <v/>
      </c>
      <c r="K48" s="100">
        <f>IF($A48="",NA(),E48)</f>
        <v/>
      </c>
    </row>
    <row r="49">
      <c r="A49" s="31" t="n">
        <v>4750</v>
      </c>
      <c r="B49" s="41" t="n">
        <v>11.8</v>
      </c>
      <c r="C49" s="41" t="n">
        <v>14.6</v>
      </c>
      <c r="D49" s="70">
        <f>IF($A49="","",$B$35)</f>
        <v/>
      </c>
      <c r="E49" s="70">
        <f>IF($A49="","",$B$35+$B$36/(0.052*$A49))</f>
        <v/>
      </c>
      <c r="G49" s="100">
        <f>IF($A49="",NA(),$A49)</f>
        <v/>
      </c>
      <c r="H49" s="100">
        <f>IF(OR($A49="",$B49=""),NA(),$B49)</f>
        <v/>
      </c>
      <c r="I49" s="100">
        <f>IF(OR($A49="",$C49=""),NA(),$C49)</f>
        <v/>
      </c>
      <c r="J49" s="100">
        <f>IF($A49="",NA(),D49)</f>
        <v/>
      </c>
      <c r="K49" s="100">
        <f>IF($A49="",NA(),E49)</f>
        <v/>
      </c>
    </row>
    <row r="50">
      <c r="A50" s="31" t="n">
        <v>5000</v>
      </c>
      <c r="B50" s="41" t="n">
        <v>12.6</v>
      </c>
      <c r="C50" s="41" t="n">
        <v>14.8</v>
      </c>
      <c r="D50" s="70">
        <f>IF($A50="","",$B$35)</f>
        <v/>
      </c>
      <c r="E50" s="70">
        <f>IF($A50="","",$B$35+$B$36/(0.052*$A50))</f>
        <v/>
      </c>
      <c r="G50" s="100">
        <f>IF($A50="",NA(),$A50)</f>
        <v/>
      </c>
      <c r="H50" s="100">
        <f>IF(OR($A50="",$B50=""),NA(),$B50)</f>
        <v/>
      </c>
      <c r="I50" s="100">
        <f>IF(OR($A50="",$C50=""),NA(),$C50)</f>
        <v/>
      </c>
      <c r="J50" s="100">
        <f>IF($A50="",NA(),D50)</f>
        <v/>
      </c>
      <c r="K50" s="100">
        <f>IF($A50="",NA(),E50)</f>
        <v/>
      </c>
    </row>
    <row r="51">
      <c r="A51" s="31" t="n">
        <v>5200</v>
      </c>
      <c r="B51" s="41" t="n">
        <v>13.2</v>
      </c>
      <c r="C51" s="41" t="n">
        <v>15</v>
      </c>
      <c r="D51" s="70">
        <f>IF($A51="","",$B$35)</f>
        <v/>
      </c>
      <c r="E51" s="70">
        <f>IF($A51="","",$B$35+$B$36/(0.052*$A51))</f>
        <v/>
      </c>
      <c r="G51" s="100">
        <f>IF($A51="",NA(),$A51)</f>
        <v/>
      </c>
      <c r="H51" s="100">
        <f>IF(OR($A51="",$B51=""),NA(),$B51)</f>
        <v/>
      </c>
      <c r="I51" s="100">
        <f>IF(OR($A51="",$C51=""),NA(),$C51)</f>
        <v/>
      </c>
      <c r="J51" s="100">
        <f>IF($A51="",NA(),D51)</f>
        <v/>
      </c>
      <c r="K51" s="100">
        <f>IF($A51="",NA(),E51)</f>
        <v/>
      </c>
    </row>
    <row r="52">
      <c r="A52" s="31" t="n">
        <v>5400</v>
      </c>
      <c r="B52" s="41" t="n">
        <v>13.7</v>
      </c>
      <c r="C52" s="41" t="n">
        <v>15.1</v>
      </c>
      <c r="D52" s="70">
        <f>IF($A52="","",$B$35)</f>
        <v/>
      </c>
      <c r="E52" s="70">
        <f>IF($A52="","",$B$35+$B$36/(0.052*$A52))</f>
        <v/>
      </c>
      <c r="G52" s="100">
        <f>IF($A52="",NA(),$A52)</f>
        <v/>
      </c>
      <c r="H52" s="100">
        <f>IF(OR($A52="",$B52=""),NA(),$B52)</f>
        <v/>
      </c>
      <c r="I52" s="100">
        <f>IF(OR($A52="",$C52=""),NA(),$C52)</f>
        <v/>
      </c>
      <c r="J52" s="100">
        <f>IF($A52="",NA(),D52)</f>
        <v/>
      </c>
      <c r="K52" s="100">
        <f>IF($A52="",NA(),E52)</f>
        <v/>
      </c>
    </row>
    <row r="53">
      <c r="A53" s="31" t="n">
        <v>5500</v>
      </c>
      <c r="B53" s="41" t="n">
        <v>14</v>
      </c>
      <c r="C53" s="41" t="n">
        <v>15.15</v>
      </c>
      <c r="D53" s="70">
        <f>IF($A53="","",$B$35)</f>
        <v/>
      </c>
      <c r="E53" s="70">
        <f>IF($A53="","",$B$35+$B$36/(0.052*$A53))</f>
        <v/>
      </c>
      <c r="G53" s="100">
        <f>IF($A53="",NA(),$A53)</f>
        <v/>
      </c>
      <c r="H53" s="100">
        <f>IF(OR($A53="",$B53=""),NA(),$B53)</f>
        <v/>
      </c>
      <c r="I53" s="100">
        <f>IF(OR($A53="",$C53=""),NA(),$C53)</f>
        <v/>
      </c>
      <c r="J53" s="100">
        <f>IF($A53="",NA(),D53)</f>
        <v/>
      </c>
      <c r="K53" s="100">
        <f>IF($A53="",NA(),E53)</f>
        <v/>
      </c>
    </row>
    <row r="54">
      <c r="A54" s="31" t="n">
        <v>5573</v>
      </c>
      <c r="B54" s="41" t="n">
        <v>14.2</v>
      </c>
      <c r="C54" s="41" t="n">
        <v>15.2</v>
      </c>
      <c r="D54" s="70">
        <f>IF($A54="","",$B$35)</f>
        <v/>
      </c>
      <c r="E54" s="70">
        <f>IF($A54="","",$B$35+$B$36/(0.052*$A54))</f>
        <v/>
      </c>
      <c r="G54" s="100">
        <f>IF($A54="",NA(),$A54)</f>
        <v/>
      </c>
      <c r="H54" s="100">
        <f>IF(OR($A54="",$B54=""),NA(),$B54)</f>
        <v/>
      </c>
      <c r="I54" s="100">
        <f>IF(OR($A54="",$C54=""),NA(),$C54)</f>
        <v/>
      </c>
      <c r="J54" s="100">
        <f>IF($A54="",NA(),D54)</f>
        <v/>
      </c>
      <c r="K54" s="100">
        <f>IF($A54="",NA(),E54)</f>
        <v/>
      </c>
    </row>
    <row r="55">
      <c r="A55" s="9" t="inlineStr">
        <is>
          <t>* helper columns G-K feed the Drilling Window chart - do not edit. They show #N/A on unused rows by design (chart gaps).</t>
        </is>
      </c>
    </row>
    <row r="57" ht="20" customHeight="1">
      <c r="A57" s="23" t="inlineStr">
        <is>
          <t>Kick Tolerance at Current Shoe</t>
        </is>
      </c>
      <c r="B57" s="24" t="n"/>
      <c r="C57" s="24" t="n"/>
      <c r="D57" s="24" t="n"/>
      <c r="E57" s="24" t="n"/>
      <c r="F57" s="24" t="n"/>
    </row>
    <row r="59">
      <c r="A59" s="25" t="inlineStr">
        <is>
          <t>Kick Margin at the Shoe</t>
        </is>
      </c>
      <c r="B59" s="26" t="n"/>
      <c r="C59" s="26" t="n"/>
      <c r="D59" s="26" t="n"/>
      <c r="E59" s="26" t="n"/>
      <c r="F59" s="49" t="inlineStr">
        <is>
          <t>Margin EMW = LOT EMW - MAX(pore EMW at TD, current MW)</t>
        </is>
      </c>
    </row>
    <row r="60">
      <c r="A60" t="inlineStr"/>
      <c r="F60" s="27" t="inlineStr">
        <is>
          <t>Simple shoe-strength margin: what the shoe can hold above the heavier of the pore pressure EMW and the current mud. For a full kick-volume tolerance use the Well Control sheet.</t>
        </is>
      </c>
    </row>
    <row r="61">
      <c r="A61" s="28" t="inlineStr">
        <is>
          <t>LOT / FIT EMW at shoe</t>
        </is>
      </c>
      <c r="B61" s="63">
        <f>WD_LOT</f>
        <v/>
      </c>
      <c r="C61" s="30" t="inlineStr">
        <is>
          <t>ppg</t>
        </is>
      </c>
      <c r="D61" s="36">
        <f>IFERROR($B$61*119.8264,NA())</f>
        <v/>
      </c>
      <c r="E61" s="30" t="inlineStr">
        <is>
          <t>kg/m3</t>
        </is>
      </c>
      <c r="F61" s="27" t="inlineStr">
        <is>
          <t>Linked to Well Data sheet - overwrite locally if this well differs.</t>
        </is>
      </c>
    </row>
    <row r="62">
      <c r="A62" s="28" t="inlineStr">
        <is>
          <t>Current mud weight</t>
        </is>
      </c>
      <c r="B62" s="63">
        <f>WD_OMW</f>
        <v/>
      </c>
      <c r="C62" s="30" t="inlineStr">
        <is>
          <t>ppg</t>
        </is>
      </c>
      <c r="D62" s="36">
        <f>IFERROR($B$62*119.8264,NA())</f>
        <v/>
      </c>
      <c r="E62" s="30" t="inlineStr">
        <is>
          <t>kg/m3</t>
        </is>
      </c>
      <c r="F62" s="27" t="inlineStr">
        <is>
          <t>Linked to Well Data sheet - overwrite locally if this well differs.</t>
        </is>
      </c>
    </row>
    <row r="63">
      <c r="A63" s="28" t="inlineStr">
        <is>
          <t>Casing shoe TVD</t>
        </is>
      </c>
      <c r="B63" s="64">
        <f>WD_ShoeTVD</f>
        <v/>
      </c>
      <c r="C63" s="30" t="inlineStr">
        <is>
          <t>ft</t>
        </is>
      </c>
      <c r="D63" s="32">
        <f>IFERROR($B$63*0.3048,NA())</f>
        <v/>
      </c>
      <c r="E63" s="30" t="inlineStr">
        <is>
          <t>m</t>
        </is>
      </c>
      <c r="F63" s="27" t="inlineStr">
        <is>
          <t>Linked to Well Data sheet - overwrite locally if this well differs.</t>
        </is>
      </c>
    </row>
    <row r="64">
      <c r="A64" s="28" t="inlineStr">
        <is>
          <t>Well TD TVD</t>
        </is>
      </c>
      <c r="B64" s="64">
        <f>WD_TVD</f>
        <v/>
      </c>
      <c r="C64" s="30" t="inlineStr">
        <is>
          <t>ft</t>
        </is>
      </c>
      <c r="D64" s="32">
        <f>IFERROR($B$64*0.3048,NA())</f>
        <v/>
      </c>
      <c r="E64" s="30" t="inlineStr">
        <is>
          <t>m</t>
        </is>
      </c>
      <c r="F64" s="27" t="inlineStr">
        <is>
          <t>Linked to Well Data sheet - overwrite locally if this well differs.</t>
        </is>
      </c>
    </row>
    <row r="65">
      <c r="A65" s="28" t="inlineStr">
        <is>
          <t>Pore pressure EMW at TD</t>
        </is>
      </c>
      <c r="B65" s="41" t="n">
        <v>14.3</v>
      </c>
      <c r="C65" s="30" t="inlineStr">
        <is>
          <t>ppg</t>
        </is>
      </c>
      <c r="D65" s="42">
        <f>IFERROR($B$65*119.8264,NA())</f>
        <v/>
      </c>
      <c r="E65" s="30" t="inlineStr">
        <is>
          <t>kg/m3</t>
        </is>
      </c>
      <c r="F65" s="27" t="inlineStr">
        <is>
          <t>Use the Eaton estimate above, calibrated to any kicks/connection gas.</t>
        </is>
      </c>
    </row>
    <row r="66">
      <c r="A66" s="28" t="inlineStr">
        <is>
          <t>Open hole below shoe (TVD)</t>
        </is>
      </c>
      <c r="B66" s="59">
        <f>$B$64-$B$63</f>
        <v/>
      </c>
      <c r="C66" s="30" t="inlineStr">
        <is>
          <t>ft</t>
        </is>
      </c>
      <c r="D66" s="32">
        <f>IFERROR($B$66*0.3048,NA())</f>
        <v/>
      </c>
      <c r="E66" s="30" t="inlineStr">
        <is>
          <t>m</t>
        </is>
      </c>
      <c r="F66" s="27" t="inlineStr">
        <is>
          <t>0 ft is normal for a horizontal well with the shoe at reservoir TVD.</t>
        </is>
      </c>
    </row>
    <row r="67">
      <c r="A67" s="28" t="inlineStr">
        <is>
          <t>Kick margin EMW at shoe</t>
        </is>
      </c>
      <c r="B67" s="51">
        <f>$B$61-MAX($B$65,$B$62)</f>
        <v/>
      </c>
      <c r="C67" s="30" t="inlineStr">
        <is>
          <t>ppg</t>
        </is>
      </c>
      <c r="D67" s="42">
        <f>IFERROR($B$67*119.8264,NA())</f>
        <v/>
      </c>
      <c r="E67" s="30" t="inlineStr">
        <is>
          <t>kg/m3</t>
        </is>
      </c>
    </row>
    <row r="68">
      <c r="A68" s="28" t="inlineStr">
        <is>
          <t>Margin as pressure at shoe</t>
        </is>
      </c>
      <c r="B68" s="59">
        <f>0.052*$B$67*$B$63</f>
        <v/>
      </c>
      <c r="C68" s="30" t="inlineStr">
        <is>
          <t>psi</t>
        </is>
      </c>
      <c r="D68" s="32">
        <f>IFERROR($B$68*6.894757,NA())</f>
        <v/>
      </c>
      <c r="E68" s="30" t="inlineStr">
        <is>
          <t>kPa</t>
        </is>
      </c>
    </row>
    <row r="69">
      <c r="A69" s="28" t="inlineStr">
        <is>
          <t>Status</t>
        </is>
      </c>
      <c r="B69" s="72">
        <f>IF($B$67&gt;=0.5,"OK - kick margin adequate",IF($B$67&gt;0,"MARGINAL - thin kick margin at shoe","CHECK: no kick margin - shoe cannot hold a kick on this mud"))</f>
        <v/>
      </c>
      <c r="C69" s="30" t="inlineStr"/>
    </row>
  </sheetData>
  <sheetProtection selectLockedCells="0" selectUnlockedCells="0" sheet="1" objects="0" insertRows="1" insertHyperlinks="1" autoFilter="1" scenarios="0" formatColumns="0" deleteColumns="1" insertColumns="1" pivotTables="1" deleteRows="1" formatCells="1" formatRows="0" sort="1"/>
  <mergeCells count="7">
    <mergeCell ref="A38:F38"/>
    <mergeCell ref="A2:F2"/>
    <mergeCell ref="A19:F19"/>
    <mergeCell ref="A1:F1"/>
    <mergeCell ref="A31:F31"/>
    <mergeCell ref="A6:F6"/>
    <mergeCell ref="A57:F57"/>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tabColor rgb="002E75B6"/>
    <outlinePr summaryBelow="1" summaryRight="1"/>
    <pageSetUpPr/>
  </sheetPr>
  <dimension ref="A1:P118"/>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ht="26" customHeight="1">
      <c r="A1" s="19" t="inlineStr">
        <is>
          <t>Open-Hole Log Interpretation - Quick-Look Petrophysics</t>
        </is>
      </c>
      <c r="B1" s="2" t="n"/>
      <c r="C1" s="2" t="n"/>
      <c r="D1" s="2" t="n"/>
      <c r="E1" s="2" t="n"/>
      <c r="F1" s="2" t="n"/>
    </row>
    <row r="2">
      <c r="A2" s="20" t="inlineStr">
        <is>
          <t>Vsh from GR, density/neutron/sonic porosity, Archie Sw, Rw from SP, Timur permeability, net pay cutoffs and a 25-point log data table</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Single-Point Petrophysics</t>
        </is>
      </c>
      <c r="B6" s="24" t="n"/>
      <c r="C6" s="24" t="n"/>
      <c r="D6" s="24" t="n"/>
      <c r="E6" s="24" t="n"/>
      <c r="F6" s="24" t="n"/>
    </row>
    <row r="8">
      <c r="A8" s="25" t="inlineStr">
        <is>
          <t>Shale Volume from Gamma Ray</t>
        </is>
      </c>
      <c r="B8" s="26" t="n"/>
      <c r="C8" s="26" t="n"/>
      <c r="D8" s="26" t="n"/>
      <c r="E8" s="26" t="n"/>
      <c r="F8" s="49" t="inlineStr">
        <is>
          <t>IGR = (GR - GR_clean)/(GR_shale - GR_clean);   Vsh(Larionov Tertiary) = 0.083 x (2^(3.7 x IGR) - 1);   Vsh(Larionov older) = 0.33 x (2^(2 x IGR) - 1)</t>
        </is>
      </c>
    </row>
    <row r="9">
      <c r="A9" t="inlineStr"/>
      <c r="F9" s="27" t="inlineStr">
        <is>
          <t>Pick GR_clean in the cleanest sand and GR_shale in a thick shale on the same log run.</t>
        </is>
      </c>
    </row>
    <row r="10">
      <c r="A10" s="28" t="inlineStr">
        <is>
          <t>Gamma ray reading (GR)</t>
        </is>
      </c>
      <c r="B10" s="37" t="n">
        <v>45</v>
      </c>
      <c r="C10" s="30" t="inlineStr">
        <is>
          <t>API</t>
        </is>
      </c>
    </row>
    <row r="11">
      <c r="A11" s="28" t="inlineStr">
        <is>
          <t>Clean sand baseline (GR_clean)</t>
        </is>
      </c>
      <c r="B11" s="37" t="n">
        <v>20</v>
      </c>
      <c r="C11" s="30" t="inlineStr">
        <is>
          <t>API</t>
        </is>
      </c>
    </row>
    <row r="12">
      <c r="A12" s="28" t="inlineStr">
        <is>
          <t>Shale baseline (GR_shale)</t>
        </is>
      </c>
      <c r="B12" s="37" t="n">
        <v>120</v>
      </c>
      <c r="C12" s="30" t="inlineStr">
        <is>
          <t>API</t>
        </is>
      </c>
    </row>
    <row r="13">
      <c r="A13" s="28" t="inlineStr">
        <is>
          <t>Gamma ray index (IGR)</t>
        </is>
      </c>
      <c r="B13" s="50">
        <f>($B$10-$B$11)/($B$12-$B$11)</f>
        <v/>
      </c>
      <c r="C13" s="30" t="inlineStr"/>
    </row>
    <row r="14">
      <c r="A14" s="28" t="inlineStr">
        <is>
          <t>Vsh - linear (Vsh = IGR)</t>
        </is>
      </c>
      <c r="B14" s="50">
        <f>$B$13</f>
        <v/>
      </c>
      <c r="C14" s="30" t="inlineStr"/>
      <c r="F14" s="27" t="inlineStr">
        <is>
          <t>Linear index overstates Vsh in most rocks - use as an upper bound.</t>
        </is>
      </c>
    </row>
    <row r="15">
      <c r="A15" s="28" t="inlineStr">
        <is>
          <t>Vsh - Larionov Tertiary</t>
        </is>
      </c>
      <c r="B15" s="50">
        <f>0.083*(2^(3.7*$B$13)-1)</f>
        <v/>
      </c>
      <c r="C15" s="30" t="inlineStr"/>
      <c r="F15" s="27" t="inlineStr">
        <is>
          <t>Larionov (1969) Tertiary (unconsolidated) rocks - use for young clastics (Gulf Coast type).</t>
        </is>
      </c>
    </row>
    <row r="16">
      <c r="A16" s="28" t="inlineStr">
        <is>
          <t>Vsh - Larionov older rocks</t>
        </is>
      </c>
      <c r="B16" s="50">
        <f>0.33*(2^(2*$B$13)-1)</f>
        <v/>
      </c>
      <c r="C16" s="30" t="inlineStr"/>
      <c r="F16" s="27" t="inlineStr">
        <is>
          <t>Larionov older (consolidated, pre-Tertiary) rocks. Both curves reduce the linear IGR; pick the one matching rock age/compaction.</t>
        </is>
      </c>
    </row>
    <row r="18">
      <c r="A18" s="25" t="inlineStr">
        <is>
          <t>Density Porosity</t>
        </is>
      </c>
      <c r="B18" s="26" t="n"/>
      <c r="C18" s="26" t="n"/>
      <c r="D18" s="26" t="n"/>
      <c r="E18" s="26" t="n"/>
      <c r="F18" s="49" t="inlineStr">
        <is>
          <t>PHID = (rho_ma - rho_b) / (rho_ma - rho_f)</t>
        </is>
      </c>
    </row>
    <row r="19">
      <c r="A19" t="inlineStr"/>
      <c r="F19" s="27" t="inlineStr">
        <is>
          <t>Matrix density 2.65 g/cc sandstone, 2.71 limestone, 2.87 dolomite. Fluid density 1.0 fresh filtrate, ~1.1 salt filtrate.</t>
        </is>
      </c>
    </row>
    <row r="20">
      <c r="A20" s="28" t="inlineStr">
        <is>
          <t>Bulk density log (RHOB)</t>
        </is>
      </c>
      <c r="B20" s="33" t="n">
        <v>2.35</v>
      </c>
      <c r="C20" s="30" t="inlineStr"/>
      <c r="F20" s="27" t="inlineStr">
        <is>
          <t>g/cc.</t>
        </is>
      </c>
    </row>
    <row r="21">
      <c r="A21" s="28" t="inlineStr">
        <is>
          <t>Matrix density (rho_ma)</t>
        </is>
      </c>
      <c r="B21" s="33" t="n">
        <v>2.65</v>
      </c>
      <c r="C21" s="30" t="inlineStr"/>
      <c r="F21" s="27" t="inlineStr">
        <is>
          <t>g/cc - 2.65 sandstone (default), 2.71 limestone.</t>
        </is>
      </c>
    </row>
    <row r="22">
      <c r="A22" s="28" t="inlineStr">
        <is>
          <t>Fluid density (rho_f)</t>
        </is>
      </c>
      <c r="B22" s="33" t="n">
        <v>1</v>
      </c>
      <c r="C22" s="30" t="inlineStr"/>
      <c r="F22" s="27" t="inlineStr">
        <is>
          <t>g/cc - mud filtrate in the flushed zone.</t>
        </is>
      </c>
    </row>
    <row r="23">
      <c r="A23" s="28" t="inlineStr">
        <is>
          <t>Density porosity (PHID)</t>
        </is>
      </c>
      <c r="B23" s="58">
        <f>($B$21-$B$20)/($B$21-$B$22)</f>
        <v/>
      </c>
      <c r="C23" s="30" t="inlineStr">
        <is>
          <t>v/v</t>
        </is>
      </c>
    </row>
    <row r="25">
      <c r="A25" s="25" t="inlineStr">
        <is>
          <t>Neutron-Density &amp; Gas Flag</t>
        </is>
      </c>
      <c r="B25" s="26" t="n"/>
      <c r="C25" s="26" t="n"/>
      <c r="D25" s="26" t="n"/>
      <c r="E25" s="26" t="n"/>
      <c r="F25" s="49" t="inlineStr">
        <is>
          <t>PHIND = (PHID + NPHI)/2;   gas flag when PHID - NPHI &gt; 0.04</t>
        </is>
      </c>
    </row>
    <row r="26">
      <c r="A26" t="inlineStr"/>
      <c r="F26" s="27" t="inlineStr">
        <is>
          <t>On sandstone-scaled logs in a gas zone the density curve reads high porosity and the neutron reads low (crossover, PHID &gt;&gt; NPHI). Convention here: positive PHID - NPHI beyond 0.04 v/v flags likely gas effect.</t>
        </is>
      </c>
    </row>
    <row r="27">
      <c r="A27" s="28" t="inlineStr">
        <is>
          <t>Neutron porosity (NPHI)</t>
        </is>
      </c>
      <c r="B27" s="33" t="n">
        <v>0.12</v>
      </c>
      <c r="C27" s="30" t="inlineStr">
        <is>
          <t>v/v</t>
        </is>
      </c>
      <c r="F27" s="27" t="inlineStr">
        <is>
          <t>Sandstone matrix scale, environmentally corrected.</t>
        </is>
      </c>
    </row>
    <row r="28">
      <c r="A28" s="28" t="inlineStr">
        <is>
          <t>Neutron-density porosity (PHIND)</t>
        </is>
      </c>
      <c r="B28" s="58">
        <f>($B$23+$B$27)/2</f>
        <v/>
      </c>
      <c r="C28" s="30" t="inlineStr">
        <is>
          <t>v/v</t>
        </is>
      </c>
      <c r="F28" s="27" t="inlineStr">
        <is>
          <t>Simple average; use SQRT((PHID^2+NPHI^2)/2) in gas zones.</t>
        </is>
      </c>
    </row>
    <row r="29">
      <c r="A29" s="28" t="inlineStr">
        <is>
          <t>Gas crossover status</t>
        </is>
      </c>
      <c r="B29" s="72">
        <f>IF($B$23-$B$27&gt;0.04,"CHECK: N-D crossover - gas effect likely (PHID &gt;&gt; NPHI)","OK - no significant gas crossover")</f>
        <v/>
      </c>
      <c r="C29" s="30" t="inlineStr"/>
    </row>
    <row r="31">
      <c r="A31" s="25" t="inlineStr">
        <is>
          <t>Sonic Porosity (Wyllie)</t>
        </is>
      </c>
      <c r="B31" s="26" t="n"/>
      <c r="C31" s="26" t="n"/>
      <c r="D31" s="26" t="n"/>
      <c r="E31" s="26" t="n"/>
      <c r="F31" s="49" t="inlineStr">
        <is>
          <t>PHIS = (DT - DT_ma) / (DT_f - DT_ma);   corrected = PHIS / Cp</t>
        </is>
      </c>
    </row>
    <row r="32">
      <c r="A32" t="inlineStr"/>
      <c r="F32" s="27" t="inlineStr">
        <is>
          <t>Wyllie time-average (1956) - compacted, water-filled clean rock. DT_ma: 55.5 us/ft sandstone, 47.5 limestone, 43.5 dolomite; DT_f 189 us/ft fresh mud.</t>
        </is>
      </c>
    </row>
    <row r="33">
      <c r="A33" s="28" t="inlineStr">
        <is>
          <t>Sonic transit time (DT)</t>
        </is>
      </c>
      <c r="B33" s="37" t="n">
        <v>75</v>
      </c>
      <c r="C33" s="30" t="inlineStr"/>
      <c r="F33" s="27" t="inlineStr">
        <is>
          <t>us/ft.</t>
        </is>
      </c>
    </row>
    <row r="34">
      <c r="A34" s="28" t="inlineStr">
        <is>
          <t>Matrix transit time (DT_ma)</t>
        </is>
      </c>
      <c r="B34" s="37" t="n">
        <v>55.5</v>
      </c>
      <c r="C34" s="30" t="inlineStr"/>
      <c r="F34" s="27" t="inlineStr">
        <is>
          <t>us/ft - 55.5 sandstone (default).</t>
        </is>
      </c>
    </row>
    <row r="35">
      <c r="A35" s="28" t="inlineStr">
        <is>
          <t>Fluid transit time (DT_f)</t>
        </is>
      </c>
      <c r="B35" s="37" t="n">
        <v>189</v>
      </c>
      <c r="C35" s="30" t="inlineStr"/>
      <c r="F35" s="27" t="inlineStr">
        <is>
          <t>us/ft.</t>
        </is>
      </c>
    </row>
    <row r="36">
      <c r="A36" s="28" t="inlineStr">
        <is>
          <t>Sonic porosity (PHIS)</t>
        </is>
      </c>
      <c r="B36" s="58">
        <f>($B$33-$B$34)/($B$35-$B$34)</f>
        <v/>
      </c>
      <c r="C36" s="30" t="inlineStr">
        <is>
          <t>v/v</t>
        </is>
      </c>
    </row>
    <row r="37">
      <c r="A37" s="28" t="inlineStr">
        <is>
          <t>Compaction correction factor (Cp)</t>
        </is>
      </c>
      <c r="B37" s="41" t="n">
        <v>1</v>
      </c>
      <c r="C37" s="30" t="inlineStr"/>
      <c r="F37" s="27" t="inlineStr">
        <is>
          <t>Divide PHIS by Cp &gt; 1 in uncompacted sands (Cp ~ DT_shale x C / 100, typically 1.0-1.3 where shale DT &gt; 100 us/ft).</t>
        </is>
      </c>
    </row>
    <row r="38">
      <c r="A38" s="28" t="inlineStr">
        <is>
          <t>Sonic porosity, compaction corrected</t>
        </is>
      </c>
      <c r="B38" s="58">
        <f>$B$36/$B$37</f>
        <v/>
      </c>
      <c r="C38" s="30" t="inlineStr">
        <is>
          <t>v/v</t>
        </is>
      </c>
    </row>
    <row r="40">
      <c r="A40" s="25" t="inlineStr">
        <is>
          <t>Effective Porosity</t>
        </is>
      </c>
      <c r="B40" s="26" t="n"/>
      <c r="C40" s="26" t="n"/>
      <c r="D40" s="26" t="n"/>
      <c r="E40" s="26" t="n"/>
      <c r="F40" s="49" t="inlineStr">
        <is>
          <t>PHIE = PHIND x (1 - Vsh)</t>
        </is>
      </c>
    </row>
    <row r="41">
      <c r="A41" t="inlineStr"/>
      <c r="F41" s="27" t="inlineStr">
        <is>
          <t>Shale-corrected total porosity; uses the Larionov Tertiary Vsh and neutron-density porosity from the blocks above.</t>
        </is>
      </c>
    </row>
    <row r="42">
      <c r="A42" s="28" t="inlineStr">
        <is>
          <t>Effective porosity (PHIE)</t>
        </is>
      </c>
      <c r="B42" s="58">
        <f>$B$28*(1-$B$15)</f>
        <v/>
      </c>
      <c r="C42" s="30" t="inlineStr">
        <is>
          <t>v/v</t>
        </is>
      </c>
    </row>
    <row r="44">
      <c r="A44" s="25" t="inlineStr">
        <is>
          <t>Water Saturation (Archie)</t>
        </is>
      </c>
      <c r="B44" s="26" t="n"/>
      <c r="C44" s="26" t="n"/>
      <c r="D44" s="26" t="n"/>
      <c r="E44" s="26" t="n"/>
      <c r="F44" s="49" t="inlineStr">
        <is>
          <t>Sw = ( (a x Rw) / (PHI^m x Rt) )^(1/n)</t>
        </is>
      </c>
    </row>
    <row r="45">
      <c r="A45" t="inlineStr"/>
      <c r="F45" s="27" t="inlineStr">
        <is>
          <t>Archie (1942) - clean (shale-free) formations. Defaults a = 1, m = 2, n = 2 (carbonate/consolidated sand); a = 0.62, m = 2.15 (Humble) for unconsolidated sands. For shaly sands use Simandoux or dual-water instead - Archie overstates Sw when clay conductivity is significant.</t>
        </is>
      </c>
    </row>
    <row r="46">
      <c r="A46" s="28" t="inlineStr">
        <is>
          <t>Formation water resistivity (Rw)</t>
        </is>
      </c>
      <c r="B46" s="33" t="n">
        <v>0.05</v>
      </c>
      <c r="C46" s="30" t="inlineStr">
        <is>
          <t>ohm-m</t>
        </is>
      </c>
    </row>
    <row r="47">
      <c r="A47" s="28" t="inlineStr">
        <is>
          <t>True formation resistivity (Rt)</t>
        </is>
      </c>
      <c r="B47" s="41" t="n">
        <v>20</v>
      </c>
      <c r="C47" s="30" t="inlineStr">
        <is>
          <t>ohm-m</t>
        </is>
      </c>
    </row>
    <row r="48">
      <c r="A48" s="28" t="inlineStr">
        <is>
          <t>Tortuosity factor (a)</t>
        </is>
      </c>
      <c r="B48" s="41" t="n">
        <v>1</v>
      </c>
      <c r="C48" s="30" t="inlineStr"/>
    </row>
    <row r="49">
      <c r="A49" s="28" t="inlineStr">
        <is>
          <t>Cementation exponent (m)</t>
        </is>
      </c>
      <c r="B49" s="41" t="n">
        <v>2</v>
      </c>
      <c r="C49" s="30" t="inlineStr"/>
    </row>
    <row r="50">
      <c r="A50" s="28" t="inlineStr">
        <is>
          <t>Saturation exponent (n)</t>
        </is>
      </c>
      <c r="B50" s="41" t="n">
        <v>2</v>
      </c>
      <c r="C50" s="30" t="inlineStr"/>
    </row>
    <row r="51">
      <c r="A51" s="28" t="inlineStr">
        <is>
          <t>Porosity for Sw (PHI)</t>
        </is>
      </c>
      <c r="B51" s="33" t="n">
        <v>0.22</v>
      </c>
      <c r="C51" s="30" t="inlineStr">
        <is>
          <t>v/v</t>
        </is>
      </c>
      <c r="F51" s="27" t="inlineStr">
        <is>
          <t>Use PHIE (effective porosity) here.</t>
        </is>
      </c>
    </row>
    <row r="52">
      <c r="A52" s="28" t="inlineStr">
        <is>
          <t>Water saturation (Archie)</t>
        </is>
      </c>
      <c r="B52" s="58">
        <f>(($B$48*$B$46)/($B$51^$B$49*$B$47))^(1/$B$50)</f>
        <v/>
      </c>
      <c r="C52" s="30" t="inlineStr">
        <is>
          <t>v/v</t>
        </is>
      </c>
    </row>
    <row r="53">
      <c r="A53" s="28" t="inlineStr">
        <is>
          <t>Water saturation</t>
        </is>
      </c>
      <c r="B53" s="54">
        <f>$B$52*100</f>
        <v/>
      </c>
      <c r="C53" s="30" t="inlineStr"/>
      <c r="F53" s="27" t="inlineStr">
        <is>
          <t>percent.</t>
        </is>
      </c>
    </row>
    <row r="54">
      <c r="A54" s="28" t="inlineStr">
        <is>
          <t>Bulk volume water (BVW)</t>
        </is>
      </c>
      <c r="B54" s="58">
        <f>$B$51*$B$52</f>
        <v/>
      </c>
      <c r="C54" s="30" t="inlineStr">
        <is>
          <t>v/v</t>
        </is>
      </c>
      <c r="F54" s="27" t="inlineStr">
        <is>
          <t>Near-constant BVW over an interval indicates the zone is at irreducible water saturation (will produce water-free).</t>
        </is>
      </c>
    </row>
    <row r="56">
      <c r="A56" s="25" t="inlineStr">
        <is>
          <t>Rw from SP</t>
        </is>
      </c>
      <c r="B56" s="26" t="n"/>
      <c r="C56" s="26" t="n"/>
      <c r="D56" s="26" t="n"/>
      <c r="E56" s="26" t="n"/>
      <c r="F56" s="49" t="inlineStr">
        <is>
          <t>K = 61 + 0.133 x T [degF];   Rw ~ Rmf / 10^(-SSP/K)</t>
        </is>
      </c>
    </row>
    <row r="57">
      <c r="A57" t="inlineStr"/>
      <c r="F57" s="27" t="inlineStr">
        <is>
          <t>Quick-look only: clean, thick, water-bearing zone, NaCl-equivalent filtrate and formation water. Strictly the SP gives Rwe/Rmfe (equivalent resistivities) - correct via SP charts for precise work.</t>
        </is>
      </c>
    </row>
    <row r="58">
      <c r="A58" s="28" t="inlineStr">
        <is>
          <t>Static SP deflection (SSP)</t>
        </is>
      </c>
      <c r="B58" s="37" t="n">
        <v>-80</v>
      </c>
      <c r="C58" s="30" t="inlineStr"/>
      <c r="F58" s="27" t="inlineStr">
        <is>
          <t>mV, negative in a wet sand with Rmf &gt; Rw.</t>
        </is>
      </c>
    </row>
    <row r="59">
      <c r="A59" s="28" t="inlineStr">
        <is>
          <t>Formation temperature</t>
        </is>
      </c>
      <c r="B59" s="37" t="n">
        <v>150</v>
      </c>
      <c r="C59" s="30" t="inlineStr">
        <is>
          <t>degF</t>
        </is>
      </c>
      <c r="D59" s="40">
        <f>IFERROR(($B$59-32)/1.8,NA())</f>
        <v/>
      </c>
      <c r="E59" s="30" t="inlineStr">
        <is>
          <t>degC</t>
        </is>
      </c>
    </row>
    <row r="60">
      <c r="A60" s="28" t="inlineStr">
        <is>
          <t>Mud filtrate resistivity at formation temp (Rmf)</t>
        </is>
      </c>
      <c r="B60" s="33" t="n">
        <v>0.35</v>
      </c>
      <c r="C60" s="30" t="inlineStr">
        <is>
          <t>ohm-m</t>
        </is>
      </c>
    </row>
    <row r="61">
      <c r="A61" s="28" t="inlineStr">
        <is>
          <t>SP coefficient (K)</t>
        </is>
      </c>
      <c r="B61" s="51">
        <f>61+0.133*$B$59</f>
        <v/>
      </c>
      <c r="C61" s="30" t="inlineStr"/>
    </row>
    <row r="62">
      <c r="A62" s="28" t="inlineStr">
        <is>
          <t>Formation water resistivity (Rw, approx)</t>
        </is>
      </c>
      <c r="B62" s="58">
        <f>$B$60/10^(-$B$58/$B$61)</f>
        <v/>
      </c>
      <c r="C62" s="30" t="inlineStr">
        <is>
          <t>ohm-m</t>
        </is>
      </c>
    </row>
    <row r="64">
      <c r="A64" s="25" t="inlineStr">
        <is>
          <t>Permeability Estimates</t>
        </is>
      </c>
      <c r="B64" s="26" t="n"/>
      <c r="C64" s="26" t="n"/>
      <c r="D64" s="26" t="n"/>
      <c r="E64" s="26" t="n"/>
      <c r="F64" s="49" t="inlineStr">
        <is>
          <t>Timur (1968): k [mD] = 0.136 x (PHI x 100)^4.4 / (Swi x 100)^2</t>
        </is>
      </c>
    </row>
    <row r="65">
      <c r="A65" t="inlineStr"/>
      <c r="F65" s="27" t="inlineStr">
        <is>
          <t>Timur correlation from sandstone core data - order-of-magnitude estimate only; requires porosity as a fraction and IRREDUCIBLE water saturation. Coates free-fluid / NMR forms (e.g. k = ((100 x PHI)^2 x (1-Swi)/Swi)^2 variants) need local core calibration before use - not computed here.</t>
        </is>
      </c>
    </row>
    <row r="66">
      <c r="A66" s="28" t="inlineStr">
        <is>
          <t>Porosity (PHI)</t>
        </is>
      </c>
      <c r="B66" s="33" t="n">
        <v>0.22</v>
      </c>
      <c r="C66" s="30" t="inlineStr">
        <is>
          <t>v/v</t>
        </is>
      </c>
    </row>
    <row r="67">
      <c r="A67" s="28" t="inlineStr">
        <is>
          <t>Irreducible water saturation (Swi)</t>
        </is>
      </c>
      <c r="B67" s="33" t="n">
        <v>0.25</v>
      </c>
      <c r="C67" s="30" t="inlineStr">
        <is>
          <t>v/v</t>
        </is>
      </c>
      <c r="F67" s="27" t="inlineStr">
        <is>
          <t>From capillary pressure data or BVW in a zone at irreducible conditions.</t>
        </is>
      </c>
    </row>
    <row r="68">
      <c r="A68" s="28" t="inlineStr">
        <is>
          <t>Timur permeability (k)</t>
        </is>
      </c>
      <c r="B68" s="60">
        <f>0.136*($B$66*100)^4.4/($B$67*100)^2</f>
        <v/>
      </c>
      <c r="C68" s="30" t="inlineStr">
        <is>
          <t>mD</t>
        </is>
      </c>
      <c r="D68" s="61">
        <f>IFERROR($B$68*0.9869233,NA())</f>
        <v/>
      </c>
      <c r="E68" s="30" t="inlineStr">
        <is>
          <t>um2 x1e-3</t>
        </is>
      </c>
    </row>
    <row r="69">
      <c r="A69" s="28" t="inlineStr">
        <is>
          <t>Rough permeability class</t>
        </is>
      </c>
      <c r="B69" s="72">
        <f>IF($B$68&lt;1,"tight (&lt; 1 mD)",IF($B$68&lt;10,"poor (1-10 mD)",IF($B$68&lt;100,"moderate (10-100 mD)",IF($B$68&lt;1000,"good (100-1,000 mD)","excellent (&gt; 1,000 mD)"))))</f>
        <v/>
      </c>
      <c r="C69" s="30" t="inlineStr"/>
    </row>
    <row r="71">
      <c r="A71" s="25" t="inlineStr">
        <is>
          <t>Net Pay Cutoffs</t>
        </is>
      </c>
      <c r="B71" s="26" t="n"/>
      <c r="C71" s="26" t="n"/>
      <c r="D71" s="26" t="n"/>
      <c r="E71" s="26" t="n"/>
      <c r="F71" s="49" t="inlineStr">
        <is>
          <t>pay when Vsh &lt;= Vsh_max AND PHIE &gt;= PHIE_min AND Sw &lt;= Sw_max</t>
        </is>
      </c>
    </row>
    <row r="72">
      <c r="A72" t="inlineStr"/>
      <c r="F72" s="27" t="inlineStr">
        <is>
          <t>Typical clastic quick-look cutoffs; tighten PHIE_min for gas (lower viscosity) and loosen for heavy oil per field practice. These cells drive the pay flag in the table below.</t>
        </is>
      </c>
    </row>
    <row r="73">
      <c r="A73" s="28" t="inlineStr">
        <is>
          <t>Maximum shale volume (Vsh_max)</t>
        </is>
      </c>
      <c r="B73" s="41" t="n">
        <v>0.4</v>
      </c>
      <c r="C73" s="30" t="inlineStr">
        <is>
          <t>v/v</t>
        </is>
      </c>
    </row>
    <row r="74">
      <c r="A74" s="28" t="inlineStr">
        <is>
          <t>Minimum effective porosity (PHIE_min)</t>
        </is>
      </c>
      <c r="B74" s="41" t="n">
        <v>0.08</v>
      </c>
      <c r="C74" s="30" t="inlineStr">
        <is>
          <t>v/v</t>
        </is>
      </c>
    </row>
    <row r="75">
      <c r="A75" s="28" t="inlineStr">
        <is>
          <t>Maximum water saturation (Sw_max)</t>
        </is>
      </c>
      <c r="B75" s="41" t="n">
        <v>0.6</v>
      </c>
      <c r="C75" s="30" t="inlineStr">
        <is>
          <t>v/v</t>
        </is>
      </c>
    </row>
    <row r="76">
      <c r="A76" s="28" t="inlineStr">
        <is>
          <t>Cutoff set</t>
        </is>
      </c>
      <c r="B76" s="72">
        <f>"Pay = Vsh &lt;= "&amp;TEXT($B$73,"0.00")&amp;", PHIE &gt;= "&amp;TEXT($B$74,"0.00")&amp;", Sw &lt;= "&amp;TEXT($B$75,"0.00")</f>
        <v/>
      </c>
      <c r="C76" s="30" t="inlineStr"/>
    </row>
    <row r="78" ht="20" customHeight="1">
      <c r="A78" s="23" t="inlineStr">
        <is>
          <t>Log Data Table &amp; Quick-Look</t>
        </is>
      </c>
      <c r="B78" s="24" t="n"/>
      <c r="C78" s="24" t="n"/>
      <c r="D78" s="24" t="n"/>
      <c r="E78" s="24" t="n"/>
      <c r="F78" s="24" t="n"/>
    </row>
    <row r="80">
      <c r="A80" s="89" t="inlineStr">
        <is>
          <t>25-point log listing - enter Depth/GR/RHOB/NPHI/RT (yellow); IGR through pay flag computed with the single-point parameters above</t>
        </is>
      </c>
      <c r="B80" s="24" t="n"/>
      <c r="C80" s="24" t="n"/>
      <c r="D80" s="24" t="n"/>
      <c r="E80" s="24" t="n"/>
      <c r="F80" s="24" t="n"/>
    </row>
    <row r="81">
      <c r="A81" s="66" t="inlineStr">
        <is>
          <t>Depth (ft)</t>
        </is>
      </c>
      <c r="B81" s="67" t="inlineStr">
        <is>
          <t>GR (API)</t>
        </is>
      </c>
      <c r="C81" s="67" t="inlineStr">
        <is>
          <t>RHOB (g/cc)</t>
        </is>
      </c>
      <c r="D81" s="67" t="inlineStr">
        <is>
          <t>NPHI (v/v)</t>
        </is>
      </c>
      <c r="E81" s="67" t="inlineStr">
        <is>
          <t>RT (ohm-m)</t>
        </is>
      </c>
      <c r="F81" s="67" t="inlineStr">
        <is>
          <t>IGR</t>
        </is>
      </c>
      <c r="G81" s="67" t="inlineStr">
        <is>
          <t>Vsh</t>
        </is>
      </c>
      <c r="H81" s="67" t="inlineStr">
        <is>
          <t>PHID</t>
        </is>
      </c>
      <c r="I81" s="67" t="inlineStr">
        <is>
          <t>PHIND</t>
        </is>
      </c>
      <c r="J81" s="67" t="inlineStr">
        <is>
          <t>PHIE</t>
        </is>
      </c>
      <c r="K81" s="67" t="inlineStr">
        <is>
          <t>Sw</t>
        </is>
      </c>
      <c r="L81" s="67" t="inlineStr">
        <is>
          <t>pay</t>
        </is>
      </c>
      <c r="M81" s="67" t="inlineStr">
        <is>
          <t>D*</t>
        </is>
      </c>
      <c r="N81" s="67" t="inlineStr">
        <is>
          <t>Sw*</t>
        </is>
      </c>
      <c r="O81" s="67" t="inlineStr">
        <is>
          <t>Vsh*</t>
        </is>
      </c>
      <c r="P81" s="67" t="inlineStr">
        <is>
          <t>PHIE*</t>
        </is>
      </c>
    </row>
    <row r="82">
      <c r="A82" s="31" t="n">
        <v>5400</v>
      </c>
      <c r="B82" s="37" t="n">
        <v>108</v>
      </c>
      <c r="C82" s="41" t="n">
        <v>2.55</v>
      </c>
      <c r="D82" s="33" t="n">
        <v>0.33</v>
      </c>
      <c r="E82" s="37" t="n">
        <v>4</v>
      </c>
      <c r="F82" s="50">
        <f>IF(ISNUMBER($B82),MAX(0,MIN(1,($B82-$B$11)/($B$12-$B$11))),"")</f>
        <v/>
      </c>
      <c r="G82" s="50">
        <f>IF(ISNUMBER($F82),0.083*(2^(3.7*$F82)-1),"")</f>
        <v/>
      </c>
      <c r="H82" s="50">
        <f>IF(ISNUMBER($C82),MAX(0,MIN(1,($B$21-$C82)/($B$21-$B$22))),"")</f>
        <v/>
      </c>
      <c r="I82" s="50">
        <f>IF(AND(ISNUMBER($H82),ISNUMBER($D82)),($H82+$D82)/2,"")</f>
        <v/>
      </c>
      <c r="J82" s="50">
        <f>IF(AND(ISNUMBER($I82),ISNUMBER($G82)),$I82*(1-$G82),"")</f>
        <v/>
      </c>
      <c r="K82" s="50">
        <f>IF(OR(NOT(ISNUMBER($J82)),NOT(ISNUMBER($E82))),"",IF($J82&lt;=0,"",MIN(1,(($B$48*$B$46)/($J82^$B$49*$E82))^(1/$B$50))))</f>
        <v/>
      </c>
      <c r="L82" s="101">
        <f>IF(AND(ISNUMBER($G82),ISNUMBER($J82),ISNUMBER($K82)),IF(AND($G82&lt;=$B$73,$J82&gt;=$B$74,$K82&lt;=$B$75),1,0),0)</f>
        <v/>
      </c>
      <c r="M82" s="102">
        <f>IF(ISNUMBER($A82),$A82,NA())</f>
        <v/>
      </c>
      <c r="N82" s="103">
        <f>IF(AND(ISNUMBER($A82),ISNUMBER($K82)),$K82,NA())</f>
        <v/>
      </c>
      <c r="O82" s="103">
        <f>IF(AND(ISNUMBER($A82),ISNUMBER($G82)),$G82,NA())</f>
        <v/>
      </c>
      <c r="P82" s="103">
        <f>IF(AND(ISNUMBER($A82),ISNUMBER($J82)),$J82,NA())</f>
        <v/>
      </c>
    </row>
    <row r="83">
      <c r="A83" s="31" t="n">
        <v>5402</v>
      </c>
      <c r="B83" s="37" t="n">
        <v>112</v>
      </c>
      <c r="C83" s="41" t="n">
        <v>2.56</v>
      </c>
      <c r="D83" s="33" t="n">
        <v>0.34</v>
      </c>
      <c r="E83" s="37" t="n">
        <v>3.5</v>
      </c>
      <c r="F83" s="50">
        <f>IF(ISNUMBER($B83),MAX(0,MIN(1,($B83-$B$11)/($B$12-$B$11))),"")</f>
        <v/>
      </c>
      <c r="G83" s="50">
        <f>IF(ISNUMBER($F83),0.083*(2^(3.7*$F83)-1),"")</f>
        <v/>
      </c>
      <c r="H83" s="50">
        <f>IF(ISNUMBER($C83),MAX(0,MIN(1,($B$21-$C83)/($B$21-$B$22))),"")</f>
        <v/>
      </c>
      <c r="I83" s="50">
        <f>IF(AND(ISNUMBER($H83),ISNUMBER($D83)),($H83+$D83)/2,"")</f>
        <v/>
      </c>
      <c r="J83" s="50">
        <f>IF(AND(ISNUMBER($I83),ISNUMBER($G83)),$I83*(1-$G83),"")</f>
        <v/>
      </c>
      <c r="K83" s="50">
        <f>IF(OR(NOT(ISNUMBER($J83)),NOT(ISNUMBER($E83))),"",IF($J83&lt;=0,"",MIN(1,(($B$48*$B$46)/($J83^$B$49*$E83))^(1/$B$50))))</f>
        <v/>
      </c>
      <c r="L83" s="101">
        <f>IF(AND(ISNUMBER($G83),ISNUMBER($J83),ISNUMBER($K83)),IF(AND($G83&lt;=$B$73,$J83&gt;=$B$74,$K83&lt;=$B$75),1,0),0)</f>
        <v/>
      </c>
      <c r="M83" s="102">
        <f>IF(ISNUMBER($A83),$A83,NA())</f>
        <v/>
      </c>
      <c r="N83" s="103">
        <f>IF(AND(ISNUMBER($A83),ISNUMBER($K83)),$K83,NA())</f>
        <v/>
      </c>
      <c r="O83" s="103">
        <f>IF(AND(ISNUMBER($A83),ISNUMBER($G83)),$G83,NA())</f>
        <v/>
      </c>
      <c r="P83" s="103">
        <f>IF(AND(ISNUMBER($A83),ISNUMBER($J83)),$J83,NA())</f>
        <v/>
      </c>
    </row>
    <row r="84">
      <c r="A84" s="31" t="n">
        <v>5404</v>
      </c>
      <c r="B84" s="37" t="n">
        <v>118</v>
      </c>
      <c r="C84" s="41" t="n">
        <v>2.58</v>
      </c>
      <c r="D84" s="33" t="n">
        <v>0.35</v>
      </c>
      <c r="E84" s="37" t="n">
        <v>3</v>
      </c>
      <c r="F84" s="50">
        <f>IF(ISNUMBER($B84),MAX(0,MIN(1,($B84-$B$11)/($B$12-$B$11))),"")</f>
        <v/>
      </c>
      <c r="G84" s="50">
        <f>IF(ISNUMBER($F84),0.083*(2^(3.7*$F84)-1),"")</f>
        <v/>
      </c>
      <c r="H84" s="50">
        <f>IF(ISNUMBER($C84),MAX(0,MIN(1,($B$21-$C84)/($B$21-$B$22))),"")</f>
        <v/>
      </c>
      <c r="I84" s="50">
        <f>IF(AND(ISNUMBER($H84),ISNUMBER($D84)),($H84+$D84)/2,"")</f>
        <v/>
      </c>
      <c r="J84" s="50">
        <f>IF(AND(ISNUMBER($I84),ISNUMBER($G84)),$I84*(1-$G84),"")</f>
        <v/>
      </c>
      <c r="K84" s="50">
        <f>IF(OR(NOT(ISNUMBER($J84)),NOT(ISNUMBER($E84))),"",IF($J84&lt;=0,"",MIN(1,(($B$48*$B$46)/($J84^$B$49*$E84))^(1/$B$50))))</f>
        <v/>
      </c>
      <c r="L84" s="101">
        <f>IF(AND(ISNUMBER($G84),ISNUMBER($J84),ISNUMBER($K84)),IF(AND($G84&lt;=$B$73,$J84&gt;=$B$74,$K84&lt;=$B$75),1,0),0)</f>
        <v/>
      </c>
      <c r="M84" s="102">
        <f>IF(ISNUMBER($A84),$A84,NA())</f>
        <v/>
      </c>
      <c r="N84" s="103">
        <f>IF(AND(ISNUMBER($A84),ISNUMBER($K84)),$K84,NA())</f>
        <v/>
      </c>
      <c r="O84" s="103">
        <f>IF(AND(ISNUMBER($A84),ISNUMBER($G84)),$G84,NA())</f>
        <v/>
      </c>
      <c r="P84" s="103">
        <f>IF(AND(ISNUMBER($A84),ISNUMBER($J84)),$J84,NA())</f>
        <v/>
      </c>
    </row>
    <row r="85">
      <c r="A85" s="31" t="n">
        <v>5406</v>
      </c>
      <c r="B85" s="37" t="n">
        <v>110</v>
      </c>
      <c r="C85" s="41" t="n">
        <v>2.55</v>
      </c>
      <c r="D85" s="33" t="n">
        <v>0.33</v>
      </c>
      <c r="E85" s="37" t="n">
        <v>4</v>
      </c>
      <c r="F85" s="50">
        <f>IF(ISNUMBER($B85),MAX(0,MIN(1,($B85-$B$11)/($B$12-$B$11))),"")</f>
        <v/>
      </c>
      <c r="G85" s="50">
        <f>IF(ISNUMBER($F85),0.083*(2^(3.7*$F85)-1),"")</f>
        <v/>
      </c>
      <c r="H85" s="50">
        <f>IF(ISNUMBER($C85),MAX(0,MIN(1,($B$21-$C85)/($B$21-$B$22))),"")</f>
        <v/>
      </c>
      <c r="I85" s="50">
        <f>IF(AND(ISNUMBER($H85),ISNUMBER($D85)),($H85+$D85)/2,"")</f>
        <v/>
      </c>
      <c r="J85" s="50">
        <f>IF(AND(ISNUMBER($I85),ISNUMBER($G85)),$I85*(1-$G85),"")</f>
        <v/>
      </c>
      <c r="K85" s="50">
        <f>IF(OR(NOT(ISNUMBER($J85)),NOT(ISNUMBER($E85))),"",IF($J85&lt;=0,"",MIN(1,(($B$48*$B$46)/($J85^$B$49*$E85))^(1/$B$50))))</f>
        <v/>
      </c>
      <c r="L85" s="101">
        <f>IF(AND(ISNUMBER($G85),ISNUMBER($J85),ISNUMBER($K85)),IF(AND($G85&lt;=$B$73,$J85&gt;=$B$74,$K85&lt;=$B$75),1,0),0)</f>
        <v/>
      </c>
      <c r="M85" s="102">
        <f>IF(ISNUMBER($A85),$A85,NA())</f>
        <v/>
      </c>
      <c r="N85" s="103">
        <f>IF(AND(ISNUMBER($A85),ISNUMBER($K85)),$K85,NA())</f>
        <v/>
      </c>
      <c r="O85" s="103">
        <f>IF(AND(ISNUMBER($A85),ISNUMBER($G85)),$G85,NA())</f>
        <v/>
      </c>
      <c r="P85" s="103">
        <f>IF(AND(ISNUMBER($A85),ISNUMBER($J85)),$J85,NA())</f>
        <v/>
      </c>
    </row>
    <row r="86">
      <c r="A86" s="31" t="n">
        <v>5408</v>
      </c>
      <c r="B86" s="37" t="n">
        <v>95</v>
      </c>
      <c r="C86" s="41" t="n">
        <v>2.5</v>
      </c>
      <c r="D86" s="33" t="n">
        <v>0.3</v>
      </c>
      <c r="E86" s="37" t="n">
        <v>5</v>
      </c>
      <c r="F86" s="50">
        <f>IF(ISNUMBER($B86),MAX(0,MIN(1,($B86-$B$11)/($B$12-$B$11))),"")</f>
        <v/>
      </c>
      <c r="G86" s="50">
        <f>IF(ISNUMBER($F86),0.083*(2^(3.7*$F86)-1),"")</f>
        <v/>
      </c>
      <c r="H86" s="50">
        <f>IF(ISNUMBER($C86),MAX(0,MIN(1,($B$21-$C86)/($B$21-$B$22))),"")</f>
        <v/>
      </c>
      <c r="I86" s="50">
        <f>IF(AND(ISNUMBER($H86),ISNUMBER($D86)),($H86+$D86)/2,"")</f>
        <v/>
      </c>
      <c r="J86" s="50">
        <f>IF(AND(ISNUMBER($I86),ISNUMBER($G86)),$I86*(1-$G86),"")</f>
        <v/>
      </c>
      <c r="K86" s="50">
        <f>IF(OR(NOT(ISNUMBER($J86)),NOT(ISNUMBER($E86))),"",IF($J86&lt;=0,"",MIN(1,(($B$48*$B$46)/($J86^$B$49*$E86))^(1/$B$50))))</f>
        <v/>
      </c>
      <c r="L86" s="101">
        <f>IF(AND(ISNUMBER($G86),ISNUMBER($J86),ISNUMBER($K86)),IF(AND($G86&lt;=$B$73,$J86&gt;=$B$74,$K86&lt;=$B$75),1,0),0)</f>
        <v/>
      </c>
      <c r="M86" s="102">
        <f>IF(ISNUMBER($A86),$A86,NA())</f>
        <v/>
      </c>
      <c r="N86" s="103">
        <f>IF(AND(ISNUMBER($A86),ISNUMBER($K86)),$K86,NA())</f>
        <v/>
      </c>
      <c r="O86" s="103">
        <f>IF(AND(ISNUMBER($A86),ISNUMBER($G86)),$G86,NA())</f>
        <v/>
      </c>
      <c r="P86" s="103">
        <f>IF(AND(ISNUMBER($A86),ISNUMBER($J86)),$J86,NA())</f>
        <v/>
      </c>
    </row>
    <row r="87">
      <c r="A87" s="31" t="n">
        <v>5410</v>
      </c>
      <c r="B87" s="37" t="n">
        <v>62</v>
      </c>
      <c r="C87" s="41" t="n">
        <v>2.42</v>
      </c>
      <c r="D87" s="33" t="n">
        <v>0.24</v>
      </c>
      <c r="E87" s="37" t="n">
        <v>5</v>
      </c>
      <c r="F87" s="50">
        <f>IF(ISNUMBER($B87),MAX(0,MIN(1,($B87-$B$11)/($B$12-$B$11))),"")</f>
        <v/>
      </c>
      <c r="G87" s="50">
        <f>IF(ISNUMBER($F87),0.083*(2^(3.7*$F87)-1),"")</f>
        <v/>
      </c>
      <c r="H87" s="50">
        <f>IF(ISNUMBER($C87),MAX(0,MIN(1,($B$21-$C87)/($B$21-$B$22))),"")</f>
        <v/>
      </c>
      <c r="I87" s="50">
        <f>IF(AND(ISNUMBER($H87),ISNUMBER($D87)),($H87+$D87)/2,"")</f>
        <v/>
      </c>
      <c r="J87" s="50">
        <f>IF(AND(ISNUMBER($I87),ISNUMBER($G87)),$I87*(1-$G87),"")</f>
        <v/>
      </c>
      <c r="K87" s="50">
        <f>IF(OR(NOT(ISNUMBER($J87)),NOT(ISNUMBER($E87))),"",IF($J87&lt;=0,"",MIN(1,(($B$48*$B$46)/($J87^$B$49*$E87))^(1/$B$50))))</f>
        <v/>
      </c>
      <c r="L87" s="101">
        <f>IF(AND(ISNUMBER($G87),ISNUMBER($J87),ISNUMBER($K87)),IF(AND($G87&lt;=$B$73,$J87&gt;=$B$74,$K87&lt;=$B$75),1,0),0)</f>
        <v/>
      </c>
      <c r="M87" s="102">
        <f>IF(ISNUMBER($A87),$A87,NA())</f>
        <v/>
      </c>
      <c r="N87" s="103">
        <f>IF(AND(ISNUMBER($A87),ISNUMBER($K87)),$K87,NA())</f>
        <v/>
      </c>
      <c r="O87" s="103">
        <f>IF(AND(ISNUMBER($A87),ISNUMBER($G87)),$G87,NA())</f>
        <v/>
      </c>
      <c r="P87" s="103">
        <f>IF(AND(ISNUMBER($A87),ISNUMBER($J87)),$J87,NA())</f>
        <v/>
      </c>
    </row>
    <row r="88">
      <c r="A88" s="31" t="n">
        <v>5412</v>
      </c>
      <c r="B88" s="37" t="n">
        <v>34</v>
      </c>
      <c r="C88" s="41" t="n">
        <v>2.28</v>
      </c>
      <c r="D88" s="33" t="n">
        <v>0.19</v>
      </c>
      <c r="E88" s="37" t="n">
        <v>22</v>
      </c>
      <c r="F88" s="50">
        <f>IF(ISNUMBER($B88),MAX(0,MIN(1,($B88-$B$11)/($B$12-$B$11))),"")</f>
        <v/>
      </c>
      <c r="G88" s="50">
        <f>IF(ISNUMBER($F88),0.083*(2^(3.7*$F88)-1),"")</f>
        <v/>
      </c>
      <c r="H88" s="50">
        <f>IF(ISNUMBER($C88),MAX(0,MIN(1,($B$21-$C88)/($B$21-$B$22))),"")</f>
        <v/>
      </c>
      <c r="I88" s="50">
        <f>IF(AND(ISNUMBER($H88),ISNUMBER($D88)),($H88+$D88)/2,"")</f>
        <v/>
      </c>
      <c r="J88" s="50">
        <f>IF(AND(ISNUMBER($I88),ISNUMBER($G88)),$I88*(1-$G88),"")</f>
        <v/>
      </c>
      <c r="K88" s="50">
        <f>IF(OR(NOT(ISNUMBER($J88)),NOT(ISNUMBER($E88))),"",IF($J88&lt;=0,"",MIN(1,(($B$48*$B$46)/($J88^$B$49*$E88))^(1/$B$50))))</f>
        <v/>
      </c>
      <c r="L88" s="101">
        <f>IF(AND(ISNUMBER($G88),ISNUMBER($J88),ISNUMBER($K88)),IF(AND($G88&lt;=$B$73,$J88&gt;=$B$74,$K88&lt;=$B$75),1,0),0)</f>
        <v/>
      </c>
      <c r="M88" s="102">
        <f>IF(ISNUMBER($A88),$A88,NA())</f>
        <v/>
      </c>
      <c r="N88" s="103">
        <f>IF(AND(ISNUMBER($A88),ISNUMBER($K88)),$K88,NA())</f>
        <v/>
      </c>
      <c r="O88" s="103">
        <f>IF(AND(ISNUMBER($A88),ISNUMBER($G88)),$G88,NA())</f>
        <v/>
      </c>
      <c r="P88" s="103">
        <f>IF(AND(ISNUMBER($A88),ISNUMBER($J88)),$J88,NA())</f>
        <v/>
      </c>
    </row>
    <row r="89">
      <c r="A89" s="31" t="n">
        <v>5414</v>
      </c>
      <c r="B89" s="37" t="n">
        <v>30</v>
      </c>
      <c r="C89" s="41" t="n">
        <v>2.24</v>
      </c>
      <c r="D89" s="33" t="n">
        <v>0.17</v>
      </c>
      <c r="E89" s="37" t="n">
        <v>35</v>
      </c>
      <c r="F89" s="50">
        <f>IF(ISNUMBER($B89),MAX(0,MIN(1,($B89-$B$11)/($B$12-$B$11))),"")</f>
        <v/>
      </c>
      <c r="G89" s="50">
        <f>IF(ISNUMBER($F89),0.083*(2^(3.7*$F89)-1),"")</f>
        <v/>
      </c>
      <c r="H89" s="50">
        <f>IF(ISNUMBER($C89),MAX(0,MIN(1,($B$21-$C89)/($B$21-$B$22))),"")</f>
        <v/>
      </c>
      <c r="I89" s="50">
        <f>IF(AND(ISNUMBER($H89),ISNUMBER($D89)),($H89+$D89)/2,"")</f>
        <v/>
      </c>
      <c r="J89" s="50">
        <f>IF(AND(ISNUMBER($I89),ISNUMBER($G89)),$I89*(1-$G89),"")</f>
        <v/>
      </c>
      <c r="K89" s="50">
        <f>IF(OR(NOT(ISNUMBER($J89)),NOT(ISNUMBER($E89))),"",IF($J89&lt;=0,"",MIN(1,(($B$48*$B$46)/($J89^$B$49*$E89))^(1/$B$50))))</f>
        <v/>
      </c>
      <c r="L89" s="101">
        <f>IF(AND(ISNUMBER($G89),ISNUMBER($J89),ISNUMBER($K89)),IF(AND($G89&lt;=$B$73,$J89&gt;=$B$74,$K89&lt;=$B$75),1,0),0)</f>
        <v/>
      </c>
      <c r="M89" s="102">
        <f>IF(ISNUMBER($A89),$A89,NA())</f>
        <v/>
      </c>
      <c r="N89" s="103">
        <f>IF(AND(ISNUMBER($A89),ISNUMBER($K89)),$K89,NA())</f>
        <v/>
      </c>
      <c r="O89" s="103">
        <f>IF(AND(ISNUMBER($A89),ISNUMBER($G89)),$G89,NA())</f>
        <v/>
      </c>
      <c r="P89" s="103">
        <f>IF(AND(ISNUMBER($A89),ISNUMBER($J89)),$J89,NA())</f>
        <v/>
      </c>
    </row>
    <row r="90">
      <c r="A90" s="31" t="n">
        <v>5416</v>
      </c>
      <c r="B90" s="37" t="n">
        <v>27</v>
      </c>
      <c r="C90" s="41" t="n">
        <v>2.21</v>
      </c>
      <c r="D90" s="33" t="n">
        <v>0.15</v>
      </c>
      <c r="E90" s="37" t="n">
        <v>48</v>
      </c>
      <c r="F90" s="50">
        <f>IF(ISNUMBER($B90),MAX(0,MIN(1,($B90-$B$11)/($B$12-$B$11))),"")</f>
        <v/>
      </c>
      <c r="G90" s="50">
        <f>IF(ISNUMBER($F90),0.083*(2^(3.7*$F90)-1),"")</f>
        <v/>
      </c>
      <c r="H90" s="50">
        <f>IF(ISNUMBER($C90),MAX(0,MIN(1,($B$21-$C90)/($B$21-$B$22))),"")</f>
        <v/>
      </c>
      <c r="I90" s="50">
        <f>IF(AND(ISNUMBER($H90),ISNUMBER($D90)),($H90+$D90)/2,"")</f>
        <v/>
      </c>
      <c r="J90" s="50">
        <f>IF(AND(ISNUMBER($I90),ISNUMBER($G90)),$I90*(1-$G90),"")</f>
        <v/>
      </c>
      <c r="K90" s="50">
        <f>IF(OR(NOT(ISNUMBER($J90)),NOT(ISNUMBER($E90))),"",IF($J90&lt;=0,"",MIN(1,(($B$48*$B$46)/($J90^$B$49*$E90))^(1/$B$50))))</f>
        <v/>
      </c>
      <c r="L90" s="101">
        <f>IF(AND(ISNUMBER($G90),ISNUMBER($J90),ISNUMBER($K90)),IF(AND($G90&lt;=$B$73,$J90&gt;=$B$74,$K90&lt;=$B$75),1,0),0)</f>
        <v/>
      </c>
      <c r="M90" s="102">
        <f>IF(ISNUMBER($A90),$A90,NA())</f>
        <v/>
      </c>
      <c r="N90" s="103">
        <f>IF(AND(ISNUMBER($A90),ISNUMBER($K90)),$K90,NA())</f>
        <v/>
      </c>
      <c r="O90" s="103">
        <f>IF(AND(ISNUMBER($A90),ISNUMBER($G90)),$G90,NA())</f>
        <v/>
      </c>
      <c r="P90" s="103">
        <f>IF(AND(ISNUMBER($A90),ISNUMBER($J90)),$J90,NA())</f>
        <v/>
      </c>
    </row>
    <row r="91">
      <c r="A91" s="31" t="n">
        <v>5418</v>
      </c>
      <c r="B91" s="37" t="n">
        <v>25</v>
      </c>
      <c r="C91" s="41" t="n">
        <v>2.2</v>
      </c>
      <c r="D91" s="33" t="n">
        <v>0.14</v>
      </c>
      <c r="E91" s="37" t="n">
        <v>55</v>
      </c>
      <c r="F91" s="50">
        <f>IF(ISNUMBER($B91),MAX(0,MIN(1,($B91-$B$11)/($B$12-$B$11))),"")</f>
        <v/>
      </c>
      <c r="G91" s="50">
        <f>IF(ISNUMBER($F91),0.083*(2^(3.7*$F91)-1),"")</f>
        <v/>
      </c>
      <c r="H91" s="50">
        <f>IF(ISNUMBER($C91),MAX(0,MIN(1,($B$21-$C91)/($B$21-$B$22))),"")</f>
        <v/>
      </c>
      <c r="I91" s="50">
        <f>IF(AND(ISNUMBER($H91),ISNUMBER($D91)),($H91+$D91)/2,"")</f>
        <v/>
      </c>
      <c r="J91" s="50">
        <f>IF(AND(ISNUMBER($I91),ISNUMBER($G91)),$I91*(1-$G91),"")</f>
        <v/>
      </c>
      <c r="K91" s="50">
        <f>IF(OR(NOT(ISNUMBER($J91)),NOT(ISNUMBER($E91))),"",IF($J91&lt;=0,"",MIN(1,(($B$48*$B$46)/($J91^$B$49*$E91))^(1/$B$50))))</f>
        <v/>
      </c>
      <c r="L91" s="101">
        <f>IF(AND(ISNUMBER($G91),ISNUMBER($J91),ISNUMBER($K91)),IF(AND($G91&lt;=$B$73,$J91&gt;=$B$74,$K91&lt;=$B$75),1,0),0)</f>
        <v/>
      </c>
      <c r="M91" s="102">
        <f>IF(ISNUMBER($A91),$A91,NA())</f>
        <v/>
      </c>
      <c r="N91" s="103">
        <f>IF(AND(ISNUMBER($A91),ISNUMBER($K91)),$K91,NA())</f>
        <v/>
      </c>
      <c r="O91" s="103">
        <f>IF(AND(ISNUMBER($A91),ISNUMBER($G91)),$G91,NA())</f>
        <v/>
      </c>
      <c r="P91" s="103">
        <f>IF(AND(ISNUMBER($A91),ISNUMBER($J91)),$J91,NA())</f>
        <v/>
      </c>
    </row>
    <row r="92">
      <c r="A92" s="31" t="n">
        <v>5420</v>
      </c>
      <c r="B92" s="37" t="n">
        <v>26</v>
      </c>
      <c r="C92" s="41" t="n">
        <v>2.21</v>
      </c>
      <c r="D92" s="33" t="n">
        <v>0.15</v>
      </c>
      <c r="E92" s="37" t="n">
        <v>60</v>
      </c>
      <c r="F92" s="50">
        <f>IF(ISNUMBER($B92),MAX(0,MIN(1,($B92-$B$11)/($B$12-$B$11))),"")</f>
        <v/>
      </c>
      <c r="G92" s="50">
        <f>IF(ISNUMBER($F92),0.083*(2^(3.7*$F92)-1),"")</f>
        <v/>
      </c>
      <c r="H92" s="50">
        <f>IF(ISNUMBER($C92),MAX(0,MIN(1,($B$21-$C92)/($B$21-$B$22))),"")</f>
        <v/>
      </c>
      <c r="I92" s="50">
        <f>IF(AND(ISNUMBER($H92),ISNUMBER($D92)),($H92+$D92)/2,"")</f>
        <v/>
      </c>
      <c r="J92" s="50">
        <f>IF(AND(ISNUMBER($I92),ISNUMBER($G92)),$I92*(1-$G92),"")</f>
        <v/>
      </c>
      <c r="K92" s="50">
        <f>IF(OR(NOT(ISNUMBER($J92)),NOT(ISNUMBER($E92))),"",IF($J92&lt;=0,"",MIN(1,(($B$48*$B$46)/($J92^$B$49*$E92))^(1/$B$50))))</f>
        <v/>
      </c>
      <c r="L92" s="101">
        <f>IF(AND(ISNUMBER($G92),ISNUMBER($J92),ISNUMBER($K92)),IF(AND($G92&lt;=$B$73,$J92&gt;=$B$74,$K92&lt;=$B$75),1,0),0)</f>
        <v/>
      </c>
      <c r="M92" s="102">
        <f>IF(ISNUMBER($A92),$A92,NA())</f>
        <v/>
      </c>
      <c r="N92" s="103">
        <f>IF(AND(ISNUMBER($A92),ISNUMBER($K92)),$K92,NA())</f>
        <v/>
      </c>
      <c r="O92" s="103">
        <f>IF(AND(ISNUMBER($A92),ISNUMBER($G92)),$G92,NA())</f>
        <v/>
      </c>
      <c r="P92" s="103">
        <f>IF(AND(ISNUMBER($A92),ISNUMBER($J92)),$J92,NA())</f>
        <v/>
      </c>
    </row>
    <row r="93">
      <c r="A93" s="31" t="n">
        <v>5422</v>
      </c>
      <c r="B93" s="37" t="n">
        <v>28</v>
      </c>
      <c r="C93" s="41" t="n">
        <v>2.23</v>
      </c>
      <c r="D93" s="33" t="n">
        <v>0.16</v>
      </c>
      <c r="E93" s="37" t="n">
        <v>45</v>
      </c>
      <c r="F93" s="50">
        <f>IF(ISNUMBER($B93),MAX(0,MIN(1,($B93-$B$11)/($B$12-$B$11))),"")</f>
        <v/>
      </c>
      <c r="G93" s="50">
        <f>IF(ISNUMBER($F93),0.083*(2^(3.7*$F93)-1),"")</f>
        <v/>
      </c>
      <c r="H93" s="50">
        <f>IF(ISNUMBER($C93),MAX(0,MIN(1,($B$21-$C93)/($B$21-$B$22))),"")</f>
        <v/>
      </c>
      <c r="I93" s="50">
        <f>IF(AND(ISNUMBER($H93),ISNUMBER($D93)),($H93+$D93)/2,"")</f>
        <v/>
      </c>
      <c r="J93" s="50">
        <f>IF(AND(ISNUMBER($I93),ISNUMBER($G93)),$I93*(1-$G93),"")</f>
        <v/>
      </c>
      <c r="K93" s="50">
        <f>IF(OR(NOT(ISNUMBER($J93)),NOT(ISNUMBER($E93))),"",IF($J93&lt;=0,"",MIN(1,(($B$48*$B$46)/($J93^$B$49*$E93))^(1/$B$50))))</f>
        <v/>
      </c>
      <c r="L93" s="101">
        <f>IF(AND(ISNUMBER($G93),ISNUMBER($J93),ISNUMBER($K93)),IF(AND($G93&lt;=$B$73,$J93&gt;=$B$74,$K93&lt;=$B$75),1,0),0)</f>
        <v/>
      </c>
      <c r="M93" s="102">
        <f>IF(ISNUMBER($A93),$A93,NA())</f>
        <v/>
      </c>
      <c r="N93" s="103">
        <f>IF(AND(ISNUMBER($A93),ISNUMBER($K93)),$K93,NA())</f>
        <v/>
      </c>
      <c r="O93" s="103">
        <f>IF(AND(ISNUMBER($A93),ISNUMBER($G93)),$G93,NA())</f>
        <v/>
      </c>
      <c r="P93" s="103">
        <f>IF(AND(ISNUMBER($A93),ISNUMBER($J93)),$J93,NA())</f>
        <v/>
      </c>
    </row>
    <row r="94">
      <c r="A94" s="31" t="n">
        <v>5424</v>
      </c>
      <c r="B94" s="37" t="n">
        <v>29</v>
      </c>
      <c r="C94" s="41" t="n">
        <v>2.25</v>
      </c>
      <c r="D94" s="33" t="n">
        <v>0.18</v>
      </c>
      <c r="E94" s="37" t="n">
        <v>38</v>
      </c>
      <c r="F94" s="50">
        <f>IF(ISNUMBER($B94),MAX(0,MIN(1,($B94-$B$11)/($B$12-$B$11))),"")</f>
        <v/>
      </c>
      <c r="G94" s="50">
        <f>IF(ISNUMBER($F94),0.083*(2^(3.7*$F94)-1),"")</f>
        <v/>
      </c>
      <c r="H94" s="50">
        <f>IF(ISNUMBER($C94),MAX(0,MIN(1,($B$21-$C94)/($B$21-$B$22))),"")</f>
        <v/>
      </c>
      <c r="I94" s="50">
        <f>IF(AND(ISNUMBER($H94),ISNUMBER($D94)),($H94+$D94)/2,"")</f>
        <v/>
      </c>
      <c r="J94" s="50">
        <f>IF(AND(ISNUMBER($I94),ISNUMBER($G94)),$I94*(1-$G94),"")</f>
        <v/>
      </c>
      <c r="K94" s="50">
        <f>IF(OR(NOT(ISNUMBER($J94)),NOT(ISNUMBER($E94))),"",IF($J94&lt;=0,"",MIN(1,(($B$48*$B$46)/($J94^$B$49*$E94))^(1/$B$50))))</f>
        <v/>
      </c>
      <c r="L94" s="101">
        <f>IF(AND(ISNUMBER($G94),ISNUMBER($J94),ISNUMBER($K94)),IF(AND($G94&lt;=$B$73,$J94&gt;=$B$74,$K94&lt;=$B$75),1,0),0)</f>
        <v/>
      </c>
      <c r="M94" s="102">
        <f>IF(ISNUMBER($A94),$A94,NA())</f>
        <v/>
      </c>
      <c r="N94" s="103">
        <f>IF(AND(ISNUMBER($A94),ISNUMBER($K94)),$K94,NA())</f>
        <v/>
      </c>
      <c r="O94" s="103">
        <f>IF(AND(ISNUMBER($A94),ISNUMBER($G94)),$G94,NA())</f>
        <v/>
      </c>
      <c r="P94" s="103">
        <f>IF(AND(ISNUMBER($A94),ISNUMBER($J94)),$J94,NA())</f>
        <v/>
      </c>
    </row>
    <row r="95">
      <c r="A95" s="31" t="n">
        <v>5426</v>
      </c>
      <c r="B95" s="37" t="n">
        <v>31</v>
      </c>
      <c r="C95" s="41" t="n">
        <v>2.27</v>
      </c>
      <c r="D95" s="33" t="n">
        <v>0.19</v>
      </c>
      <c r="E95" s="37" t="n">
        <v>30</v>
      </c>
      <c r="F95" s="50">
        <f>IF(ISNUMBER($B95),MAX(0,MIN(1,($B95-$B$11)/($B$12-$B$11))),"")</f>
        <v/>
      </c>
      <c r="G95" s="50">
        <f>IF(ISNUMBER($F95),0.083*(2^(3.7*$F95)-1),"")</f>
        <v/>
      </c>
      <c r="H95" s="50">
        <f>IF(ISNUMBER($C95),MAX(0,MIN(1,($B$21-$C95)/($B$21-$B$22))),"")</f>
        <v/>
      </c>
      <c r="I95" s="50">
        <f>IF(AND(ISNUMBER($H95),ISNUMBER($D95)),($H95+$D95)/2,"")</f>
        <v/>
      </c>
      <c r="J95" s="50">
        <f>IF(AND(ISNUMBER($I95),ISNUMBER($G95)),$I95*(1-$G95),"")</f>
        <v/>
      </c>
      <c r="K95" s="50">
        <f>IF(OR(NOT(ISNUMBER($J95)),NOT(ISNUMBER($E95))),"",IF($J95&lt;=0,"",MIN(1,(($B$48*$B$46)/($J95^$B$49*$E95))^(1/$B$50))))</f>
        <v/>
      </c>
      <c r="L95" s="101">
        <f>IF(AND(ISNUMBER($G95),ISNUMBER($J95),ISNUMBER($K95)),IF(AND($G95&lt;=$B$73,$J95&gt;=$B$74,$K95&lt;=$B$75),1,0),0)</f>
        <v/>
      </c>
      <c r="M95" s="102">
        <f>IF(ISNUMBER($A95),$A95,NA())</f>
        <v/>
      </c>
      <c r="N95" s="103">
        <f>IF(AND(ISNUMBER($A95),ISNUMBER($K95)),$K95,NA())</f>
        <v/>
      </c>
      <c r="O95" s="103">
        <f>IF(AND(ISNUMBER($A95),ISNUMBER($G95)),$G95,NA())</f>
        <v/>
      </c>
      <c r="P95" s="103">
        <f>IF(AND(ISNUMBER($A95),ISNUMBER($J95)),$J95,NA())</f>
        <v/>
      </c>
    </row>
    <row r="96">
      <c r="A96" s="31" t="n">
        <v>5428</v>
      </c>
      <c r="B96" s="37" t="n">
        <v>33</v>
      </c>
      <c r="C96" s="41" t="n">
        <v>2.29</v>
      </c>
      <c r="D96" s="33" t="n">
        <v>0.2</v>
      </c>
      <c r="E96" s="37" t="n">
        <v>24</v>
      </c>
      <c r="F96" s="50">
        <f>IF(ISNUMBER($B96),MAX(0,MIN(1,($B96-$B$11)/($B$12-$B$11))),"")</f>
        <v/>
      </c>
      <c r="G96" s="50">
        <f>IF(ISNUMBER($F96),0.083*(2^(3.7*$F96)-1),"")</f>
        <v/>
      </c>
      <c r="H96" s="50">
        <f>IF(ISNUMBER($C96),MAX(0,MIN(1,($B$21-$C96)/($B$21-$B$22))),"")</f>
        <v/>
      </c>
      <c r="I96" s="50">
        <f>IF(AND(ISNUMBER($H96),ISNUMBER($D96)),($H96+$D96)/2,"")</f>
        <v/>
      </c>
      <c r="J96" s="50">
        <f>IF(AND(ISNUMBER($I96),ISNUMBER($G96)),$I96*(1-$G96),"")</f>
        <v/>
      </c>
      <c r="K96" s="50">
        <f>IF(OR(NOT(ISNUMBER($J96)),NOT(ISNUMBER($E96))),"",IF($J96&lt;=0,"",MIN(1,(($B$48*$B$46)/($J96^$B$49*$E96))^(1/$B$50))))</f>
        <v/>
      </c>
      <c r="L96" s="101">
        <f>IF(AND(ISNUMBER($G96),ISNUMBER($J96),ISNUMBER($K96)),IF(AND($G96&lt;=$B$73,$J96&gt;=$B$74,$K96&lt;=$B$75),1,0),0)</f>
        <v/>
      </c>
      <c r="M96" s="102">
        <f>IF(ISNUMBER($A96),$A96,NA())</f>
        <v/>
      </c>
      <c r="N96" s="103">
        <f>IF(AND(ISNUMBER($A96),ISNUMBER($K96)),$K96,NA())</f>
        <v/>
      </c>
      <c r="O96" s="103">
        <f>IF(AND(ISNUMBER($A96),ISNUMBER($G96)),$G96,NA())</f>
        <v/>
      </c>
      <c r="P96" s="103">
        <f>IF(AND(ISNUMBER($A96),ISNUMBER($J96)),$J96,NA())</f>
        <v/>
      </c>
    </row>
    <row r="97">
      <c r="A97" s="31" t="n">
        <v>5430</v>
      </c>
      <c r="B97" s="37" t="n">
        <v>35</v>
      </c>
      <c r="C97" s="41" t="n">
        <v>2.31</v>
      </c>
      <c r="D97" s="33" t="n">
        <v>0.21</v>
      </c>
      <c r="E97" s="37" t="n">
        <v>20</v>
      </c>
      <c r="F97" s="50">
        <f>IF(ISNUMBER($B97),MAX(0,MIN(1,($B97-$B$11)/($B$12-$B$11))),"")</f>
        <v/>
      </c>
      <c r="G97" s="50">
        <f>IF(ISNUMBER($F97),0.083*(2^(3.7*$F97)-1),"")</f>
        <v/>
      </c>
      <c r="H97" s="50">
        <f>IF(ISNUMBER($C97),MAX(0,MIN(1,($B$21-$C97)/($B$21-$B$22))),"")</f>
        <v/>
      </c>
      <c r="I97" s="50">
        <f>IF(AND(ISNUMBER($H97),ISNUMBER($D97)),($H97+$D97)/2,"")</f>
        <v/>
      </c>
      <c r="J97" s="50">
        <f>IF(AND(ISNUMBER($I97),ISNUMBER($G97)),$I97*(1-$G97),"")</f>
        <v/>
      </c>
      <c r="K97" s="50">
        <f>IF(OR(NOT(ISNUMBER($J97)),NOT(ISNUMBER($E97))),"",IF($J97&lt;=0,"",MIN(1,(($B$48*$B$46)/($J97^$B$49*$E97))^(1/$B$50))))</f>
        <v/>
      </c>
      <c r="L97" s="101">
        <f>IF(AND(ISNUMBER($G97),ISNUMBER($J97),ISNUMBER($K97)),IF(AND($G97&lt;=$B$73,$J97&gt;=$B$74,$K97&lt;=$B$75),1,0),0)</f>
        <v/>
      </c>
      <c r="M97" s="102">
        <f>IF(ISNUMBER($A97),$A97,NA())</f>
        <v/>
      </c>
      <c r="N97" s="103">
        <f>IF(AND(ISNUMBER($A97),ISNUMBER($K97)),$K97,NA())</f>
        <v/>
      </c>
      <c r="O97" s="103">
        <f>IF(AND(ISNUMBER($A97),ISNUMBER($G97)),$G97,NA())</f>
        <v/>
      </c>
      <c r="P97" s="103">
        <f>IF(AND(ISNUMBER($A97),ISNUMBER($J97)),$J97,NA())</f>
        <v/>
      </c>
    </row>
    <row r="98">
      <c r="A98" s="31" t="n">
        <v>5432</v>
      </c>
      <c r="B98" s="37" t="n">
        <v>55</v>
      </c>
      <c r="C98" s="41" t="n">
        <v>2.38</v>
      </c>
      <c r="D98" s="33" t="n">
        <v>0.24</v>
      </c>
      <c r="E98" s="37" t="n">
        <v>4</v>
      </c>
      <c r="F98" s="50">
        <f>IF(ISNUMBER($B98),MAX(0,MIN(1,($B98-$B$11)/($B$12-$B$11))),"")</f>
        <v/>
      </c>
      <c r="G98" s="50">
        <f>IF(ISNUMBER($F98),0.083*(2^(3.7*$F98)-1),"")</f>
        <v/>
      </c>
      <c r="H98" s="50">
        <f>IF(ISNUMBER($C98),MAX(0,MIN(1,($B$21-$C98)/($B$21-$B$22))),"")</f>
        <v/>
      </c>
      <c r="I98" s="50">
        <f>IF(AND(ISNUMBER($H98),ISNUMBER($D98)),($H98+$D98)/2,"")</f>
        <v/>
      </c>
      <c r="J98" s="50">
        <f>IF(AND(ISNUMBER($I98),ISNUMBER($G98)),$I98*(1-$G98),"")</f>
        <v/>
      </c>
      <c r="K98" s="50">
        <f>IF(OR(NOT(ISNUMBER($J98)),NOT(ISNUMBER($E98))),"",IF($J98&lt;=0,"",MIN(1,(($B$48*$B$46)/($J98^$B$49*$E98))^(1/$B$50))))</f>
        <v/>
      </c>
      <c r="L98" s="101">
        <f>IF(AND(ISNUMBER($G98),ISNUMBER($J98),ISNUMBER($K98)),IF(AND($G98&lt;=$B$73,$J98&gt;=$B$74,$K98&lt;=$B$75),1,0),0)</f>
        <v/>
      </c>
      <c r="M98" s="102">
        <f>IF(ISNUMBER($A98),$A98,NA())</f>
        <v/>
      </c>
      <c r="N98" s="103">
        <f>IF(AND(ISNUMBER($A98),ISNUMBER($K98)),$K98,NA())</f>
        <v/>
      </c>
      <c r="O98" s="103">
        <f>IF(AND(ISNUMBER($A98),ISNUMBER($G98)),$G98,NA())</f>
        <v/>
      </c>
      <c r="P98" s="103">
        <f>IF(AND(ISNUMBER($A98),ISNUMBER($J98)),$J98,NA())</f>
        <v/>
      </c>
    </row>
    <row r="99">
      <c r="A99" s="31" t="n">
        <v>5434</v>
      </c>
      <c r="B99" s="37" t="n">
        <v>32</v>
      </c>
      <c r="C99" s="41" t="n">
        <v>2.4</v>
      </c>
      <c r="D99" s="33" t="n">
        <v>0.24</v>
      </c>
      <c r="E99" s="37" t="n">
        <v>3.5</v>
      </c>
      <c r="F99" s="50">
        <f>IF(ISNUMBER($B99),MAX(0,MIN(1,($B99-$B$11)/($B$12-$B$11))),"")</f>
        <v/>
      </c>
      <c r="G99" s="50">
        <f>IF(ISNUMBER($F99),0.083*(2^(3.7*$F99)-1),"")</f>
        <v/>
      </c>
      <c r="H99" s="50">
        <f>IF(ISNUMBER($C99),MAX(0,MIN(1,($B$21-$C99)/($B$21-$B$22))),"")</f>
        <v/>
      </c>
      <c r="I99" s="50">
        <f>IF(AND(ISNUMBER($H99),ISNUMBER($D99)),($H99+$D99)/2,"")</f>
        <v/>
      </c>
      <c r="J99" s="50">
        <f>IF(AND(ISNUMBER($I99),ISNUMBER($G99)),$I99*(1-$G99),"")</f>
        <v/>
      </c>
      <c r="K99" s="50">
        <f>IF(OR(NOT(ISNUMBER($J99)),NOT(ISNUMBER($E99))),"",IF($J99&lt;=0,"",MIN(1,(($B$48*$B$46)/($J99^$B$49*$E99))^(1/$B$50))))</f>
        <v/>
      </c>
      <c r="L99" s="101">
        <f>IF(AND(ISNUMBER($G99),ISNUMBER($J99),ISNUMBER($K99)),IF(AND($G99&lt;=$B$73,$J99&gt;=$B$74,$K99&lt;=$B$75),1,0),0)</f>
        <v/>
      </c>
      <c r="M99" s="102">
        <f>IF(ISNUMBER($A99),$A99,NA())</f>
        <v/>
      </c>
      <c r="N99" s="103">
        <f>IF(AND(ISNUMBER($A99),ISNUMBER($K99)),$K99,NA())</f>
        <v/>
      </c>
      <c r="O99" s="103">
        <f>IF(AND(ISNUMBER($A99),ISNUMBER($G99)),$G99,NA())</f>
        <v/>
      </c>
      <c r="P99" s="103">
        <f>IF(AND(ISNUMBER($A99),ISNUMBER($J99)),$J99,NA())</f>
        <v/>
      </c>
    </row>
    <row r="100">
      <c r="A100" s="31" t="n">
        <v>5436</v>
      </c>
      <c r="B100" s="37" t="n">
        <v>30</v>
      </c>
      <c r="C100" s="41" t="n">
        <v>2.41</v>
      </c>
      <c r="D100" s="33" t="n">
        <v>0.25</v>
      </c>
      <c r="E100" s="37" t="n">
        <v>3</v>
      </c>
      <c r="F100" s="50">
        <f>IF(ISNUMBER($B100),MAX(0,MIN(1,($B100-$B$11)/($B$12-$B$11))),"")</f>
        <v/>
      </c>
      <c r="G100" s="50">
        <f>IF(ISNUMBER($F100),0.083*(2^(3.7*$F100)-1),"")</f>
        <v/>
      </c>
      <c r="H100" s="50">
        <f>IF(ISNUMBER($C100),MAX(0,MIN(1,($B$21-$C100)/($B$21-$B$22))),"")</f>
        <v/>
      </c>
      <c r="I100" s="50">
        <f>IF(AND(ISNUMBER($H100),ISNUMBER($D100)),($H100+$D100)/2,"")</f>
        <v/>
      </c>
      <c r="J100" s="50">
        <f>IF(AND(ISNUMBER($I100),ISNUMBER($G100)),$I100*(1-$G100),"")</f>
        <v/>
      </c>
      <c r="K100" s="50">
        <f>IF(OR(NOT(ISNUMBER($J100)),NOT(ISNUMBER($E100))),"",IF($J100&lt;=0,"",MIN(1,(($B$48*$B$46)/($J100^$B$49*$E100))^(1/$B$50))))</f>
        <v/>
      </c>
      <c r="L100" s="101">
        <f>IF(AND(ISNUMBER($G100),ISNUMBER($J100),ISNUMBER($K100)),IF(AND($G100&lt;=$B$73,$J100&gt;=$B$74,$K100&lt;=$B$75),1,0),0)</f>
        <v/>
      </c>
      <c r="M100" s="102">
        <f>IF(ISNUMBER($A100),$A100,NA())</f>
        <v/>
      </c>
      <c r="N100" s="103">
        <f>IF(AND(ISNUMBER($A100),ISNUMBER($K100)),$K100,NA())</f>
        <v/>
      </c>
      <c r="O100" s="103">
        <f>IF(AND(ISNUMBER($A100),ISNUMBER($G100)),$G100,NA())</f>
        <v/>
      </c>
      <c r="P100" s="103">
        <f>IF(AND(ISNUMBER($A100),ISNUMBER($J100)),$J100,NA())</f>
        <v/>
      </c>
    </row>
    <row r="101">
      <c r="A101" s="31" t="n">
        <v>5438</v>
      </c>
      <c r="B101" s="37" t="n">
        <v>33</v>
      </c>
      <c r="C101" s="41" t="n">
        <v>2.42</v>
      </c>
      <c r="D101" s="33" t="n">
        <v>0.25</v>
      </c>
      <c r="E101" s="37" t="n">
        <v>3</v>
      </c>
      <c r="F101" s="50">
        <f>IF(ISNUMBER($B101),MAX(0,MIN(1,($B101-$B$11)/($B$12-$B$11))),"")</f>
        <v/>
      </c>
      <c r="G101" s="50">
        <f>IF(ISNUMBER($F101),0.083*(2^(3.7*$F101)-1),"")</f>
        <v/>
      </c>
      <c r="H101" s="50">
        <f>IF(ISNUMBER($C101),MAX(0,MIN(1,($B$21-$C101)/($B$21-$B$22))),"")</f>
        <v/>
      </c>
      <c r="I101" s="50">
        <f>IF(AND(ISNUMBER($H101),ISNUMBER($D101)),($H101+$D101)/2,"")</f>
        <v/>
      </c>
      <c r="J101" s="50">
        <f>IF(AND(ISNUMBER($I101),ISNUMBER($G101)),$I101*(1-$G101),"")</f>
        <v/>
      </c>
      <c r="K101" s="50">
        <f>IF(OR(NOT(ISNUMBER($J101)),NOT(ISNUMBER($E101))),"",IF($J101&lt;=0,"",MIN(1,(($B$48*$B$46)/($J101^$B$49*$E101))^(1/$B$50))))</f>
        <v/>
      </c>
      <c r="L101" s="101">
        <f>IF(AND(ISNUMBER($G101),ISNUMBER($J101),ISNUMBER($K101)),IF(AND($G101&lt;=$B$73,$J101&gt;=$B$74,$K101&lt;=$B$75),1,0),0)</f>
        <v/>
      </c>
      <c r="M101" s="102">
        <f>IF(ISNUMBER($A101),$A101,NA())</f>
        <v/>
      </c>
      <c r="N101" s="103">
        <f>IF(AND(ISNUMBER($A101),ISNUMBER($K101)),$K101,NA())</f>
        <v/>
      </c>
      <c r="O101" s="103">
        <f>IF(AND(ISNUMBER($A101),ISNUMBER($G101)),$G101,NA())</f>
        <v/>
      </c>
      <c r="P101" s="103">
        <f>IF(AND(ISNUMBER($A101),ISNUMBER($J101)),$J101,NA())</f>
        <v/>
      </c>
    </row>
    <row r="102">
      <c r="A102" s="31" t="n">
        <v>5440</v>
      </c>
      <c r="B102" s="37" t="n">
        <v>88</v>
      </c>
      <c r="C102" s="41" t="n">
        <v>2.52</v>
      </c>
      <c r="D102" s="33" t="n">
        <v>0.31</v>
      </c>
      <c r="E102" s="37" t="n">
        <v>4.5</v>
      </c>
      <c r="F102" s="50">
        <f>IF(ISNUMBER($B102),MAX(0,MIN(1,($B102-$B$11)/($B$12-$B$11))),"")</f>
        <v/>
      </c>
      <c r="G102" s="50">
        <f>IF(ISNUMBER($F102),0.083*(2^(3.7*$F102)-1),"")</f>
        <v/>
      </c>
      <c r="H102" s="50">
        <f>IF(ISNUMBER($C102),MAX(0,MIN(1,($B$21-$C102)/($B$21-$B$22))),"")</f>
        <v/>
      </c>
      <c r="I102" s="50">
        <f>IF(AND(ISNUMBER($H102),ISNUMBER($D102)),($H102+$D102)/2,"")</f>
        <v/>
      </c>
      <c r="J102" s="50">
        <f>IF(AND(ISNUMBER($I102),ISNUMBER($G102)),$I102*(1-$G102),"")</f>
        <v/>
      </c>
      <c r="K102" s="50">
        <f>IF(OR(NOT(ISNUMBER($J102)),NOT(ISNUMBER($E102))),"",IF($J102&lt;=0,"",MIN(1,(($B$48*$B$46)/($J102^$B$49*$E102))^(1/$B$50))))</f>
        <v/>
      </c>
      <c r="L102" s="101">
        <f>IF(AND(ISNUMBER($G102),ISNUMBER($J102),ISNUMBER($K102)),IF(AND($G102&lt;=$B$73,$J102&gt;=$B$74,$K102&lt;=$B$75),1,0),0)</f>
        <v/>
      </c>
      <c r="M102" s="102">
        <f>IF(ISNUMBER($A102),$A102,NA())</f>
        <v/>
      </c>
      <c r="N102" s="103">
        <f>IF(AND(ISNUMBER($A102),ISNUMBER($K102)),$K102,NA())</f>
        <v/>
      </c>
      <c r="O102" s="103">
        <f>IF(AND(ISNUMBER($A102),ISNUMBER($G102)),$G102,NA())</f>
        <v/>
      </c>
      <c r="P102" s="103">
        <f>IF(AND(ISNUMBER($A102),ISNUMBER($J102)),$J102,NA())</f>
        <v/>
      </c>
    </row>
    <row r="103">
      <c r="A103" s="31" t="n">
        <v>5442</v>
      </c>
      <c r="B103" s="37" t="n">
        <v>104</v>
      </c>
      <c r="C103" s="41" t="n">
        <v>2.55</v>
      </c>
      <c r="D103" s="33" t="n">
        <v>0.33</v>
      </c>
      <c r="E103" s="37" t="n">
        <v>4</v>
      </c>
      <c r="F103" s="50">
        <f>IF(ISNUMBER($B103),MAX(0,MIN(1,($B103-$B$11)/($B$12-$B$11))),"")</f>
        <v/>
      </c>
      <c r="G103" s="50">
        <f>IF(ISNUMBER($F103),0.083*(2^(3.7*$F103)-1),"")</f>
        <v/>
      </c>
      <c r="H103" s="50">
        <f>IF(ISNUMBER($C103),MAX(0,MIN(1,($B$21-$C103)/($B$21-$B$22))),"")</f>
        <v/>
      </c>
      <c r="I103" s="50">
        <f>IF(AND(ISNUMBER($H103),ISNUMBER($D103)),($H103+$D103)/2,"")</f>
        <v/>
      </c>
      <c r="J103" s="50">
        <f>IF(AND(ISNUMBER($I103),ISNUMBER($G103)),$I103*(1-$G103),"")</f>
        <v/>
      </c>
      <c r="K103" s="50">
        <f>IF(OR(NOT(ISNUMBER($J103)),NOT(ISNUMBER($E103))),"",IF($J103&lt;=0,"",MIN(1,(($B$48*$B$46)/($J103^$B$49*$E103))^(1/$B$50))))</f>
        <v/>
      </c>
      <c r="L103" s="101">
        <f>IF(AND(ISNUMBER($G103),ISNUMBER($J103),ISNUMBER($K103)),IF(AND($G103&lt;=$B$73,$J103&gt;=$B$74,$K103&lt;=$B$75),1,0),0)</f>
        <v/>
      </c>
      <c r="M103" s="102">
        <f>IF(ISNUMBER($A103),$A103,NA())</f>
        <v/>
      </c>
      <c r="N103" s="103">
        <f>IF(AND(ISNUMBER($A103),ISNUMBER($K103)),$K103,NA())</f>
        <v/>
      </c>
      <c r="O103" s="103">
        <f>IF(AND(ISNUMBER($A103),ISNUMBER($G103)),$G103,NA())</f>
        <v/>
      </c>
      <c r="P103" s="103">
        <f>IF(AND(ISNUMBER($A103),ISNUMBER($J103)),$J103,NA())</f>
        <v/>
      </c>
    </row>
    <row r="104">
      <c r="A104" s="31" t="n">
        <v>5444</v>
      </c>
      <c r="B104" s="37" t="n">
        <v>115</v>
      </c>
      <c r="C104" s="41" t="n">
        <v>2.57</v>
      </c>
      <c r="D104" s="33" t="n">
        <v>0.34</v>
      </c>
      <c r="E104" s="37" t="n">
        <v>3</v>
      </c>
      <c r="F104" s="50">
        <f>IF(ISNUMBER($B104),MAX(0,MIN(1,($B104-$B$11)/($B$12-$B$11))),"")</f>
        <v/>
      </c>
      <c r="G104" s="50">
        <f>IF(ISNUMBER($F104),0.083*(2^(3.7*$F104)-1),"")</f>
        <v/>
      </c>
      <c r="H104" s="50">
        <f>IF(ISNUMBER($C104),MAX(0,MIN(1,($B$21-$C104)/($B$21-$B$22))),"")</f>
        <v/>
      </c>
      <c r="I104" s="50">
        <f>IF(AND(ISNUMBER($H104),ISNUMBER($D104)),($H104+$D104)/2,"")</f>
        <v/>
      </c>
      <c r="J104" s="50">
        <f>IF(AND(ISNUMBER($I104),ISNUMBER($G104)),$I104*(1-$G104),"")</f>
        <v/>
      </c>
      <c r="K104" s="50">
        <f>IF(OR(NOT(ISNUMBER($J104)),NOT(ISNUMBER($E104))),"",IF($J104&lt;=0,"",MIN(1,(($B$48*$B$46)/($J104^$B$49*$E104))^(1/$B$50))))</f>
        <v/>
      </c>
      <c r="L104" s="101">
        <f>IF(AND(ISNUMBER($G104),ISNUMBER($J104),ISNUMBER($K104)),IF(AND($G104&lt;=$B$73,$J104&gt;=$B$74,$K104&lt;=$B$75),1,0),0)</f>
        <v/>
      </c>
      <c r="M104" s="102">
        <f>IF(ISNUMBER($A104),$A104,NA())</f>
        <v/>
      </c>
      <c r="N104" s="103">
        <f>IF(AND(ISNUMBER($A104),ISNUMBER($K104)),$K104,NA())</f>
        <v/>
      </c>
      <c r="O104" s="103">
        <f>IF(AND(ISNUMBER($A104),ISNUMBER($G104)),$G104,NA())</f>
        <v/>
      </c>
      <c r="P104" s="103">
        <f>IF(AND(ISNUMBER($A104),ISNUMBER($J104)),$J104,NA())</f>
        <v/>
      </c>
    </row>
    <row r="105">
      <c r="A105" s="31" t="n">
        <v>5446</v>
      </c>
      <c r="B105" s="37" t="n">
        <v>109</v>
      </c>
      <c r="C105" s="41" t="n">
        <v>2.56</v>
      </c>
      <c r="D105" s="33" t="n">
        <v>0.33</v>
      </c>
      <c r="E105" s="37" t="n">
        <v>3.5</v>
      </c>
      <c r="F105" s="50">
        <f>IF(ISNUMBER($B105),MAX(0,MIN(1,($B105-$B$11)/($B$12-$B$11))),"")</f>
        <v/>
      </c>
      <c r="G105" s="50">
        <f>IF(ISNUMBER($F105),0.083*(2^(3.7*$F105)-1),"")</f>
        <v/>
      </c>
      <c r="H105" s="50">
        <f>IF(ISNUMBER($C105),MAX(0,MIN(1,($B$21-$C105)/($B$21-$B$22))),"")</f>
        <v/>
      </c>
      <c r="I105" s="50">
        <f>IF(AND(ISNUMBER($H105),ISNUMBER($D105)),($H105+$D105)/2,"")</f>
        <v/>
      </c>
      <c r="J105" s="50">
        <f>IF(AND(ISNUMBER($I105),ISNUMBER($G105)),$I105*(1-$G105),"")</f>
        <v/>
      </c>
      <c r="K105" s="50">
        <f>IF(OR(NOT(ISNUMBER($J105)),NOT(ISNUMBER($E105))),"",IF($J105&lt;=0,"",MIN(1,(($B$48*$B$46)/($J105^$B$49*$E105))^(1/$B$50))))</f>
        <v/>
      </c>
      <c r="L105" s="101">
        <f>IF(AND(ISNUMBER($G105),ISNUMBER($J105),ISNUMBER($K105)),IF(AND($G105&lt;=$B$73,$J105&gt;=$B$74,$K105&lt;=$B$75),1,0),0)</f>
        <v/>
      </c>
      <c r="M105" s="102">
        <f>IF(ISNUMBER($A105),$A105,NA())</f>
        <v/>
      </c>
      <c r="N105" s="103">
        <f>IF(AND(ISNUMBER($A105),ISNUMBER($K105)),$K105,NA())</f>
        <v/>
      </c>
      <c r="O105" s="103">
        <f>IF(AND(ISNUMBER($A105),ISNUMBER($G105)),$G105,NA())</f>
        <v/>
      </c>
      <c r="P105" s="103">
        <f>IF(AND(ISNUMBER($A105),ISNUMBER($J105)),$J105,NA())</f>
        <v/>
      </c>
    </row>
    <row r="106">
      <c r="A106" s="31" t="n">
        <v>5448</v>
      </c>
      <c r="B106" s="37" t="n">
        <v>106</v>
      </c>
      <c r="C106" s="41" t="n">
        <v>2.55</v>
      </c>
      <c r="D106" s="33" t="n">
        <v>0.33</v>
      </c>
      <c r="E106" s="37" t="n">
        <v>4</v>
      </c>
      <c r="F106" s="50">
        <f>IF(ISNUMBER($B106),MAX(0,MIN(1,($B106-$B$11)/($B$12-$B$11))),"")</f>
        <v/>
      </c>
      <c r="G106" s="50">
        <f>IF(ISNUMBER($F106),0.083*(2^(3.7*$F106)-1),"")</f>
        <v/>
      </c>
      <c r="H106" s="50">
        <f>IF(ISNUMBER($C106),MAX(0,MIN(1,($B$21-$C106)/($B$21-$B$22))),"")</f>
        <v/>
      </c>
      <c r="I106" s="50">
        <f>IF(AND(ISNUMBER($H106),ISNUMBER($D106)),($H106+$D106)/2,"")</f>
        <v/>
      </c>
      <c r="J106" s="50">
        <f>IF(AND(ISNUMBER($I106),ISNUMBER($G106)),$I106*(1-$G106),"")</f>
        <v/>
      </c>
      <c r="K106" s="50">
        <f>IF(OR(NOT(ISNUMBER($J106)),NOT(ISNUMBER($E106))),"",IF($J106&lt;=0,"",MIN(1,(($B$48*$B$46)/($J106^$B$49*$E106))^(1/$B$50))))</f>
        <v/>
      </c>
      <c r="L106" s="101">
        <f>IF(AND(ISNUMBER($G106),ISNUMBER($J106),ISNUMBER($K106)),IF(AND($G106&lt;=$B$73,$J106&gt;=$B$74,$K106&lt;=$B$75),1,0),0)</f>
        <v/>
      </c>
      <c r="M106" s="102">
        <f>IF(ISNUMBER($A106),$A106,NA())</f>
        <v/>
      </c>
      <c r="N106" s="103">
        <f>IF(AND(ISNUMBER($A106),ISNUMBER($K106)),$K106,NA())</f>
        <v/>
      </c>
      <c r="O106" s="103">
        <f>IF(AND(ISNUMBER($A106),ISNUMBER($G106)),$G106,NA())</f>
        <v/>
      </c>
      <c r="P106" s="103">
        <f>IF(AND(ISNUMBER($A106),ISNUMBER($J106)),$J106,NA())</f>
        <v/>
      </c>
    </row>
    <row r="107">
      <c r="A107" s="9" t="inlineStr">
        <is>
          <t>* columns M-P are NA()-guarded chart helpers (depth, Sw, Vsh, PHIE) - leave them in place. Blank input rows drop out of the charts as #N/A by design.</t>
        </is>
      </c>
    </row>
    <row r="109" ht="20" customHeight="1">
      <c r="A109" s="23" t="inlineStr">
        <is>
          <t>Net Pay Summary</t>
        </is>
      </c>
      <c r="B109" s="24" t="n"/>
      <c r="C109" s="24" t="n"/>
      <c r="D109" s="24" t="n"/>
      <c r="E109" s="24" t="n"/>
      <c r="F109" s="24" t="n"/>
    </row>
    <row r="111">
      <c r="A111" s="25" t="inlineStr">
        <is>
          <t>Net Pay &amp; Pay-Average Properties</t>
        </is>
      </c>
      <c r="B111" s="26" t="n"/>
      <c r="C111" s="26" t="n"/>
      <c r="D111" s="26" t="n"/>
      <c r="E111" s="26" t="n"/>
      <c r="F111" s="49" t="inlineStr">
        <is>
          <t>Net pay = SUM(pay flags) x sample interval;   averages via SUMPRODUCT over flagged rows</t>
        </is>
      </c>
    </row>
    <row r="112">
      <c r="A112" t="inlineStr"/>
      <c r="F112" s="27" t="inlineStr">
        <is>
          <t>Sample-count method: each flagged sample contributes one interval of pay. Averages and hydrocarbon pore-feet are arithmetic over the flagged samples only.</t>
        </is>
      </c>
    </row>
    <row r="113">
      <c r="A113" s="28" t="inlineStr">
        <is>
          <t>Sample interval</t>
        </is>
      </c>
      <c r="B113" s="37" t="n">
        <v>2</v>
      </c>
      <c r="C113" s="30" t="inlineStr">
        <is>
          <t>ft</t>
        </is>
      </c>
      <c r="D113" s="40">
        <f>IFERROR($B$113*0.3048,NA())</f>
        <v/>
      </c>
      <c r="E113" s="30" t="inlineStr">
        <is>
          <t>m</t>
        </is>
      </c>
      <c r="F113" s="27" t="inlineStr">
        <is>
          <t>Depth step of the table rows (2 ft default).</t>
        </is>
      </c>
    </row>
    <row r="114">
      <c r="A114" s="28" t="inlineStr">
        <is>
          <t>Net pay</t>
        </is>
      </c>
      <c r="B114" s="54">
        <f>SUM($L$82:$L$106)*$B$113</f>
        <v/>
      </c>
      <c r="C114" s="30" t="inlineStr">
        <is>
          <t>ft</t>
        </is>
      </c>
      <c r="D114" s="40">
        <f>IFERROR($B$114*0.3048,NA())</f>
        <v/>
      </c>
      <c r="E114" s="30" t="inlineStr">
        <is>
          <t>m</t>
        </is>
      </c>
    </row>
    <row r="115">
      <c r="A115" s="28" t="inlineStr">
        <is>
          <t>Average PHIE over pay</t>
        </is>
      </c>
      <c r="B115" s="58">
        <f>IF(SUM($L$82:$L$106)=0,NA(),SUMPRODUCT($L$82:$L$106,$J$82:$J$106)/SUM($L$82:$L$106))</f>
        <v/>
      </c>
      <c r="C115" s="30" t="inlineStr">
        <is>
          <t>v/v</t>
        </is>
      </c>
      <c r="F115" s="27" t="inlineStr">
        <is>
          <t>#N/A when no samples pass the cutoffs.</t>
        </is>
      </c>
    </row>
    <row r="116">
      <c r="A116" s="28" t="inlineStr">
        <is>
          <t>Average Sw over pay</t>
        </is>
      </c>
      <c r="B116" s="58">
        <f>IF(SUM($L$82:$L$106)=0,NA(),SUMPRODUCT($L$82:$L$106,$K$82:$K$106)/SUM($L$82:$L$106))</f>
        <v/>
      </c>
      <c r="C116" s="30" t="inlineStr">
        <is>
          <t>v/v</t>
        </is>
      </c>
    </row>
    <row r="117">
      <c r="A117" s="28" t="inlineStr">
        <is>
          <t>Hydrocarbon pore-feet</t>
        </is>
      </c>
      <c r="B117" s="51">
        <f>(SUMPRODUCT($L$82:$L$106,$J$82:$J$106)-SUMPRODUCT($L$82:$L$106,$J$82:$J$106,$K$82:$K$106))*$B$113</f>
        <v/>
      </c>
      <c r="C117" s="30" t="inlineStr">
        <is>
          <t>ft</t>
        </is>
      </c>
      <c r="D117" s="42">
        <f>IFERROR($B$117*0.3048,NA())</f>
        <v/>
      </c>
      <c r="E117" s="30" t="inlineStr">
        <is>
          <t>m</t>
        </is>
      </c>
      <c r="F117" s="27" t="inlineStr">
        <is>
          <t>SUM over pay of PHIE x (1 - Sw) x interval. Multiply by drainage area x 7,758 bbl/ac-ft for STOIIP (oil, before Bo).</t>
        </is>
      </c>
    </row>
    <row r="118">
      <c r="A118" s="28" t="inlineStr">
        <is>
          <t>Status</t>
        </is>
      </c>
      <c r="B118" s="72">
        <f>IF(SUM($L$82:$L$106)=0,"CHECK: no samples pass the pay cutoffs - review cutoff set",IF($B$114&lt;10,"MARGINAL: thin pay ("&amp;TEXT($B$114,"0.0")&amp;" ft)","OK - "&amp;TEXT($B$114,"0.0")&amp;" ft net pay flagged"))</f>
        <v/>
      </c>
      <c r="C118" s="30" t="inlineStr"/>
    </row>
  </sheetData>
  <sheetProtection selectLockedCells="0" selectUnlockedCells="0" sheet="1" objects="0" insertRows="1" insertHyperlinks="1" autoFilter="1" scenarios="0" formatColumns="0" deleteColumns="1" insertColumns="1" pivotTables="1" deleteRows="1" formatCells="1" formatRows="0" sort="1"/>
  <mergeCells count="6">
    <mergeCell ref="A2:F2"/>
    <mergeCell ref="A80:F80"/>
    <mergeCell ref="A1:F1"/>
    <mergeCell ref="A6:F6"/>
    <mergeCell ref="A78:F78"/>
    <mergeCell ref="A109:F109"/>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tabColor rgb="002E75B6"/>
    <outlinePr summaryBelow="1" summaryRight="1"/>
    <pageSetUpPr/>
  </sheetPr>
  <dimension ref="A1:F110"/>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Cementing</t>
        </is>
      </c>
      <c r="B1" s="2" t="n"/>
      <c r="C1" s="2" t="n"/>
      <c r="D1" s="2" t="n"/>
      <c r="E1" s="2" t="n"/>
      <c r="F1" s="2" t="n"/>
    </row>
    <row r="2">
      <c r="A2" s="20" t="inlineStr">
        <is>
          <t>Slurry yield and density, sacks and mix water, displacement to bump, balanced plugs, hydrostatics and loads</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Slurry Properties</t>
        </is>
      </c>
      <c r="B6" s="24" t="n"/>
      <c r="C6" s="24" t="n"/>
      <c r="D6" s="24" t="n"/>
      <c r="E6" s="24" t="n"/>
      <c r="F6" s="24" t="n"/>
    </row>
    <row r="8">
      <c r="A8" s="25" t="inlineStr">
        <is>
          <t>Slurry Yield &amp; Water Requirement</t>
        </is>
      </c>
      <c r="B8" s="26" t="n"/>
      <c r="C8" s="26" t="n"/>
      <c r="D8" s="26" t="n"/>
      <c r="E8" s="26" t="n"/>
      <c r="F8" s="49" t="inlineStr">
        <is>
          <t>Yield [ft3/sk] = ( W_cmt/(SG_cmt x 8.34) + V_water + V_add ) / 7.48</t>
        </is>
      </c>
    </row>
    <row r="9">
      <c r="A9" t="inlineStr"/>
      <c r="F9" s="27" t="inlineStr">
        <is>
          <t>Absolute volumes per sack: cement solids from weight and specific gravity, plus mix water and liquid additives in gal/sk. 94-lb sack of neat Class G/H with 5.2 gal/sk shown.</t>
        </is>
      </c>
    </row>
    <row r="10">
      <c r="A10" s="28" t="inlineStr">
        <is>
          <t>Cement weight per sack</t>
        </is>
      </c>
      <c r="B10" s="37" t="n">
        <v>94</v>
      </c>
      <c r="C10" s="30" t="inlineStr"/>
      <c r="F10" s="27" t="inlineStr">
        <is>
          <t>lb/sk (94 lb standard sack).</t>
        </is>
      </c>
    </row>
    <row r="11">
      <c r="A11" s="28" t="inlineStr">
        <is>
          <t>Cement specific gravity</t>
        </is>
      </c>
      <c r="B11" s="41" t="n">
        <v>3.14</v>
      </c>
      <c r="C11" s="30" t="inlineStr"/>
    </row>
    <row r="12">
      <c r="A12" s="28" t="inlineStr">
        <is>
          <t>Mix water requirement</t>
        </is>
      </c>
      <c r="B12" s="41" t="n">
        <v>5.2</v>
      </c>
      <c r="C12" s="30" t="inlineStr">
        <is>
          <t>gal/sk</t>
        </is>
      </c>
      <c r="D12" s="42">
        <f>IFERROR($B$12*3.785412,NA())</f>
        <v/>
      </c>
      <c r="E12" s="30" t="inlineStr">
        <is>
          <t>L/sk</t>
        </is>
      </c>
    </row>
    <row r="13">
      <c r="A13" s="28" t="inlineStr">
        <is>
          <t>Liquid additives</t>
        </is>
      </c>
      <c r="B13" s="41" t="n">
        <v>0</v>
      </c>
      <c r="C13" s="30" t="inlineStr">
        <is>
          <t>gal/sk</t>
        </is>
      </c>
      <c r="D13" s="42">
        <f>IFERROR($B$13*3.785412,NA())</f>
        <v/>
      </c>
      <c r="E13" s="30" t="inlineStr">
        <is>
          <t>L/sk</t>
        </is>
      </c>
    </row>
    <row r="14">
      <c r="A14" s="28" t="inlineStr">
        <is>
          <t>Cement absolute volume</t>
        </is>
      </c>
      <c r="B14" s="50">
        <f>$B$10/($B$11*8.34)</f>
        <v/>
      </c>
      <c r="C14" s="30" t="inlineStr"/>
      <c r="F14" s="27" t="inlineStr">
        <is>
          <t>gal/sk.</t>
        </is>
      </c>
    </row>
    <row r="15">
      <c r="A15" s="28" t="inlineStr">
        <is>
          <t>Slurry yield</t>
        </is>
      </c>
      <c r="B15" s="50">
        <f>($B$14+$B$12+$B$13)/7.48</f>
        <v/>
      </c>
      <c r="C15" s="30" t="inlineStr">
        <is>
          <t>ft3/sk</t>
        </is>
      </c>
      <c r="D15" s="34">
        <f>IFERROR($B$15*0.02831685,NA())</f>
        <v/>
      </c>
      <c r="E15" s="30" t="inlineStr">
        <is>
          <t>m3/sk</t>
        </is>
      </c>
    </row>
    <row r="17">
      <c r="A17" s="25" t="inlineStr">
        <is>
          <t>Slurry Density Check (Mass Balance)</t>
        </is>
      </c>
      <c r="B17" s="26" t="n"/>
      <c r="C17" s="26" t="n"/>
      <c r="D17" s="26" t="n"/>
      <c r="E17" s="26" t="n"/>
      <c r="F17" s="49" t="inlineStr">
        <is>
          <t>MW_slurry [ppg] = ( W_cmt + V_water x 8.34 + W_add ) / ( V_abs_cmt + V_water + V_add )</t>
        </is>
      </c>
    </row>
    <row r="18">
      <c r="A18" t="inlineStr"/>
      <c r="F18" s="27" t="inlineStr">
        <is>
          <t>Total mass per sack divided by total absolute volume per sack. Neat 15.8 ppg Class G/H shown; compare against the lab-designed density.</t>
        </is>
      </c>
    </row>
    <row r="19">
      <c r="A19" s="28" t="inlineStr">
        <is>
          <t>Cement weight per sack</t>
        </is>
      </c>
      <c r="B19" s="37" t="n">
        <v>94</v>
      </c>
      <c r="C19" s="30" t="inlineStr"/>
      <c r="F19" s="27" t="inlineStr">
        <is>
          <t>lb/sk.</t>
        </is>
      </c>
    </row>
    <row r="20">
      <c r="A20" s="28" t="inlineStr">
        <is>
          <t>Cement specific gravity</t>
        </is>
      </c>
      <c r="B20" s="41" t="n">
        <v>3.14</v>
      </c>
      <c r="C20" s="30" t="inlineStr"/>
    </row>
    <row r="21">
      <c r="A21" s="28" t="inlineStr">
        <is>
          <t>Mix water</t>
        </is>
      </c>
      <c r="B21" s="41" t="n">
        <v>5.2</v>
      </c>
      <c r="C21" s="30" t="inlineStr">
        <is>
          <t>gal/sk</t>
        </is>
      </c>
      <c r="D21" s="42">
        <f>IFERROR($B$21*3.785412,NA())</f>
        <v/>
      </c>
      <c r="E21" s="30" t="inlineStr">
        <is>
          <t>L/sk</t>
        </is>
      </c>
    </row>
    <row r="22">
      <c r="A22" s="28" t="inlineStr">
        <is>
          <t>Liquid additives volume</t>
        </is>
      </c>
      <c r="B22" s="41" t="n">
        <v>0</v>
      </c>
      <c r="C22" s="30" t="inlineStr">
        <is>
          <t>gal/sk</t>
        </is>
      </c>
      <c r="D22" s="42">
        <f>IFERROR($B$22*3.785412,NA())</f>
        <v/>
      </c>
      <c r="E22" s="30" t="inlineStr">
        <is>
          <t>L/sk</t>
        </is>
      </c>
    </row>
    <row r="23">
      <c r="A23" s="28" t="inlineStr">
        <is>
          <t>Additives weight per sack</t>
        </is>
      </c>
      <c r="B23" s="41" t="n">
        <v>0</v>
      </c>
      <c r="C23" s="30" t="inlineStr"/>
      <c r="F23" s="27" t="inlineStr">
        <is>
          <t>lb/sk.</t>
        </is>
      </c>
    </row>
    <row r="24">
      <c r="A24" s="28" t="inlineStr">
        <is>
          <t>Slurry density</t>
        </is>
      </c>
      <c r="B24" s="51">
        <f>($B$19+$B$21*8.34+$B$23)/($B$19/($B$20*8.34)+$B$21+$B$22)</f>
        <v/>
      </c>
      <c r="C24" s="30" t="inlineStr">
        <is>
          <t>ppg</t>
        </is>
      </c>
      <c r="D24" s="42">
        <f>IFERROR($B$24*119.8264,NA())</f>
        <v/>
      </c>
      <c r="E24" s="30" t="inlineStr">
        <is>
          <t>kg/m3</t>
        </is>
      </c>
    </row>
    <row r="26" ht="20" customHeight="1">
      <c r="A26" s="23" t="inlineStr">
        <is>
          <t>Primary Cementing Volumes</t>
        </is>
      </c>
      <c r="B26" s="24" t="n"/>
      <c r="C26" s="24" t="n"/>
      <c r="D26" s="24" t="n"/>
      <c r="E26" s="24" t="n"/>
      <c r="F26" s="24" t="n"/>
    </row>
    <row r="28">
      <c r="A28" s="25" t="inlineStr">
        <is>
          <t>Sacks Required (Annulus + Shoe Track + Rathole)</t>
        </is>
      </c>
      <c r="B28" s="26" t="n"/>
      <c r="C28" s="26" t="n"/>
      <c r="D28" s="26" t="n"/>
      <c r="E28" s="26" t="n"/>
      <c r="F28" s="49" t="inlineStr">
        <is>
          <t>V [ft3] = [ (Dh^2 - OD^2) x L_ann x (1+xs) + Dh^2 x L_rat x (1+xs) + ID^2 x L_track ] / 1029.4 x 5.615;   Sacks = ROUNDUP( V / yield )</t>
        </is>
      </c>
    </row>
    <row r="29">
      <c r="A29" t="inlineStr"/>
      <c r="F29" s="27" t="inlineStr">
        <is>
          <t>Open-hole excess applied to annulus and rathole only (caliper or 25-100% rule of thumb); shoe track is inside casing, no excess.</t>
        </is>
      </c>
    </row>
    <row r="30">
      <c r="A30" s="28" t="inlineStr">
        <is>
          <t>Open hole diameter (Dh)</t>
        </is>
      </c>
      <c r="B30" s="33" t="n">
        <v>12.25</v>
      </c>
      <c r="C30" s="30" t="inlineStr">
        <is>
          <t>in</t>
        </is>
      </c>
      <c r="D30" s="34">
        <f>IFERROR($B$30*25.4,NA())</f>
        <v/>
      </c>
      <c r="E30" s="30" t="inlineStr">
        <is>
          <t>mm</t>
        </is>
      </c>
    </row>
    <row r="31">
      <c r="A31" s="28" t="inlineStr">
        <is>
          <t>Casing outside diameter (OD)</t>
        </is>
      </c>
      <c r="B31" s="33" t="n">
        <v>9.625</v>
      </c>
      <c r="C31" s="30" t="inlineStr">
        <is>
          <t>in</t>
        </is>
      </c>
      <c r="D31" s="34">
        <f>IFERROR($B$31*25.4,NA())</f>
        <v/>
      </c>
      <c r="E31" s="30" t="inlineStr">
        <is>
          <t>mm</t>
        </is>
      </c>
    </row>
    <row r="32">
      <c r="A32" s="28" t="inlineStr">
        <is>
          <t>Casing inside diameter (ID)</t>
        </is>
      </c>
      <c r="B32" s="33" t="n">
        <v>8.680999999999999</v>
      </c>
      <c r="C32" s="30" t="inlineStr">
        <is>
          <t>in</t>
        </is>
      </c>
      <c r="D32" s="34">
        <f>IFERROR($B$32*25.4,NA())</f>
        <v/>
      </c>
      <c r="E32" s="30" t="inlineStr">
        <is>
          <t>mm</t>
        </is>
      </c>
    </row>
    <row r="33">
      <c r="A33" s="28" t="inlineStr">
        <is>
          <t>Annulus length to cement</t>
        </is>
      </c>
      <c r="B33" s="31" t="n">
        <v>2000</v>
      </c>
      <c r="C33" s="30" t="inlineStr">
        <is>
          <t>ft</t>
        </is>
      </c>
      <c r="D33" s="32">
        <f>IFERROR($B$33*0.3048,NA())</f>
        <v/>
      </c>
      <c r="E33" s="30" t="inlineStr">
        <is>
          <t>m</t>
        </is>
      </c>
    </row>
    <row r="34">
      <c r="A34" s="28" t="inlineStr">
        <is>
          <t>Rathole length below shoe</t>
        </is>
      </c>
      <c r="B34" s="31" t="n">
        <v>30</v>
      </c>
      <c r="C34" s="30" t="inlineStr">
        <is>
          <t>ft</t>
        </is>
      </c>
      <c r="D34" s="32">
        <f>IFERROR($B$34*0.3048,NA())</f>
        <v/>
      </c>
      <c r="E34" s="30" t="inlineStr">
        <is>
          <t>m</t>
        </is>
      </c>
    </row>
    <row r="35">
      <c r="A35" s="28" t="inlineStr">
        <is>
          <t>Shoe track length</t>
        </is>
      </c>
      <c r="B35" s="31" t="n">
        <v>80</v>
      </c>
      <c r="C35" s="30" t="inlineStr">
        <is>
          <t>ft</t>
        </is>
      </c>
      <c r="D35" s="32">
        <f>IFERROR($B$35*0.3048,NA())</f>
        <v/>
      </c>
      <c r="E35" s="30" t="inlineStr">
        <is>
          <t>m</t>
        </is>
      </c>
      <c r="F35" s="27" t="inlineStr">
        <is>
          <t>Float shoe to float collar (typically 2 joints).</t>
        </is>
      </c>
    </row>
    <row r="36">
      <c r="A36" s="28" t="inlineStr">
        <is>
          <t>Open-hole excess</t>
        </is>
      </c>
      <c r="B36" s="41" t="n">
        <v>0.25</v>
      </c>
      <c r="C36" s="30" t="inlineStr"/>
      <c r="F36" s="27" t="inlineStr">
        <is>
          <t>Fraction (0.25 = 25%).</t>
        </is>
      </c>
    </row>
    <row r="37">
      <c r="A37" s="28" t="inlineStr">
        <is>
          <t>Slurry yield</t>
        </is>
      </c>
      <c r="B37" s="33" t="n">
        <v>1.18</v>
      </c>
      <c r="C37" s="30" t="inlineStr">
        <is>
          <t>ft3/sk</t>
        </is>
      </c>
      <c r="D37" s="34">
        <f>IFERROR($B$37*0.02831685,NA())</f>
        <v/>
      </c>
      <c r="E37" s="30" t="inlineStr">
        <is>
          <t>m3/sk</t>
        </is>
      </c>
    </row>
    <row r="38">
      <c r="A38" s="28" t="inlineStr">
        <is>
          <t>Total slurry volume</t>
        </is>
      </c>
      <c r="B38" s="59">
        <f>(($B$30^2-$B$31^2)*$B$33*(1+$B$36)+$B$30^2*$B$34*(1+$B$36)+$B$32^2*$B$35)/1029.4*5.615</f>
        <v/>
      </c>
      <c r="C38" s="30" t="inlineStr">
        <is>
          <t>ft3</t>
        </is>
      </c>
      <c r="D38" s="32">
        <f>IFERROR($B$38*0.02831685,NA())</f>
        <v/>
      </c>
      <c r="E38" s="30" t="inlineStr">
        <is>
          <t>m3</t>
        </is>
      </c>
    </row>
    <row r="39">
      <c r="A39" s="28" t="inlineStr">
        <is>
          <t>Sacks required</t>
        </is>
      </c>
      <c r="B39" s="59">
        <f>ROUNDUP(ROUND($B$38/$B$37,6),0)</f>
        <v/>
      </c>
      <c r="C39" s="30" t="inlineStr"/>
      <c r="F39" s="27" t="inlineStr">
        <is>
          <t>Sacks (94 lb).</t>
        </is>
      </c>
    </row>
    <row r="40">
      <c r="A40" s="27" t="inlineStr"/>
      <c r="F40" s="27" t="inlineStr">
        <is>
          <t>Order extra sacks for surface losses and density adjustments (typically +10%).</t>
        </is>
      </c>
    </row>
    <row r="42">
      <c r="A42" s="25" t="inlineStr">
        <is>
          <t>Total Mix Water</t>
        </is>
      </c>
      <c r="B42" s="26" t="n"/>
      <c r="C42" s="26" t="n"/>
      <c r="D42" s="26" t="n"/>
      <c r="E42" s="26" t="n"/>
      <c r="F42" s="49" t="inlineStr">
        <is>
          <t>V_water [bbl] = sacks x water per sack [gal/sk] / 42</t>
        </is>
      </c>
    </row>
    <row r="43">
      <c r="A43" s="28" t="inlineStr">
        <is>
          <t>Sacks to mix</t>
        </is>
      </c>
      <c r="B43" s="31" t="n">
        <v>750</v>
      </c>
      <c r="C43" s="30" t="inlineStr"/>
      <c r="F43" s="27" t="inlineStr">
        <is>
          <t>Sacks.</t>
        </is>
      </c>
    </row>
    <row r="44">
      <c r="A44" s="28" t="inlineStr">
        <is>
          <t>Water requirement</t>
        </is>
      </c>
      <c r="B44" s="41" t="n">
        <v>5.2</v>
      </c>
      <c r="C44" s="30" t="inlineStr">
        <is>
          <t>gal/sk</t>
        </is>
      </c>
      <c r="D44" s="42">
        <f>IFERROR($B$44*3.785412,NA())</f>
        <v/>
      </c>
      <c r="E44" s="30" t="inlineStr">
        <is>
          <t>L/sk</t>
        </is>
      </c>
    </row>
    <row r="45">
      <c r="A45" s="28" t="inlineStr">
        <is>
          <t>Mix water required</t>
        </is>
      </c>
      <c r="B45" s="60">
        <f>$B$43*$B$44/42</f>
        <v/>
      </c>
      <c r="C45" s="30" t="inlineStr">
        <is>
          <t>bbl</t>
        </is>
      </c>
      <c r="D45" s="61">
        <f>IFERROR($B$45*0.1589873,NA())</f>
        <v/>
      </c>
      <c r="E45" s="30" t="inlineStr">
        <is>
          <t>m3</t>
        </is>
      </c>
      <c r="F45" s="27" t="inlineStr">
        <is>
          <t>Add contingency water for washup and rate changes.</t>
        </is>
      </c>
    </row>
    <row r="47">
      <c r="A47" s="25" t="inlineStr">
        <is>
          <t>Displacement Volume to Bump the Plug</t>
        </is>
      </c>
      <c r="B47" s="26" t="n"/>
      <c r="C47" s="26" t="n"/>
      <c r="D47" s="26" t="n"/>
      <c r="E47" s="26" t="n"/>
      <c r="F47" s="49" t="inlineStr">
        <is>
          <t>V_disp [bbl] = ID^2/1029.4 x (L_casing - L_track);   Strokes = ROUNDUP( V / pump output )</t>
        </is>
      </c>
    </row>
    <row r="48">
      <c r="A48" t="inlineStr"/>
      <c r="F48" s="27" t="inlineStr">
        <is>
          <t>Displace until the top plug lands on the float collar; the shoe track stays full of cement.</t>
        </is>
      </c>
    </row>
    <row r="49">
      <c r="A49" s="28" t="inlineStr">
        <is>
          <t>Casing inside diameter (ID)</t>
        </is>
      </c>
      <c r="B49" s="33" t="n">
        <v>8.680999999999999</v>
      </c>
      <c r="C49" s="30" t="inlineStr">
        <is>
          <t>in</t>
        </is>
      </c>
      <c r="D49" s="34">
        <f>IFERROR($B$49*25.4,NA())</f>
        <v/>
      </c>
      <c r="E49" s="30" t="inlineStr">
        <is>
          <t>mm</t>
        </is>
      </c>
    </row>
    <row r="50">
      <c r="A50" s="28" t="inlineStr">
        <is>
          <t>Casing setting depth (MD)</t>
        </is>
      </c>
      <c r="B50" s="31" t="n">
        <v>6000</v>
      </c>
      <c r="C50" s="30" t="inlineStr">
        <is>
          <t>ft</t>
        </is>
      </c>
      <c r="D50" s="32">
        <f>IFERROR($B$50*0.3048,NA())</f>
        <v/>
      </c>
      <c r="E50" s="30" t="inlineStr">
        <is>
          <t>m</t>
        </is>
      </c>
    </row>
    <row r="51">
      <c r="A51" s="28" t="inlineStr">
        <is>
          <t>Shoe track length</t>
        </is>
      </c>
      <c r="B51" s="31" t="n">
        <v>80</v>
      </c>
      <c r="C51" s="30" t="inlineStr">
        <is>
          <t>ft</t>
        </is>
      </c>
      <c r="D51" s="32">
        <f>IFERROR($B$51*0.3048,NA())</f>
        <v/>
      </c>
      <c r="E51" s="30" t="inlineStr">
        <is>
          <t>m</t>
        </is>
      </c>
    </row>
    <row r="52">
      <c r="A52" s="28" t="inlineStr">
        <is>
          <t>Pump output</t>
        </is>
      </c>
      <c r="B52" s="62" t="n">
        <v>0.0997</v>
      </c>
      <c r="C52" s="30" t="inlineStr">
        <is>
          <t>bbl/stk</t>
        </is>
      </c>
      <c r="D52" s="53">
        <f>IFERROR($B$52*158.9873,NA())</f>
        <v/>
      </c>
      <c r="E52" s="30" t="inlineStr">
        <is>
          <t>L/stk</t>
        </is>
      </c>
    </row>
    <row r="53">
      <c r="A53" s="28" t="inlineStr">
        <is>
          <t>Displacement volume</t>
        </is>
      </c>
      <c r="B53" s="60">
        <f>$B$49^2/1029.4*($B$50-$B$51)</f>
        <v/>
      </c>
      <c r="C53" s="30" t="inlineStr">
        <is>
          <t>bbl</t>
        </is>
      </c>
      <c r="D53" s="61">
        <f>IFERROR($B$53*0.1589873,NA())</f>
        <v/>
      </c>
      <c r="E53" s="30" t="inlineStr">
        <is>
          <t>m3</t>
        </is>
      </c>
    </row>
    <row r="54">
      <c r="A54" s="28" t="inlineStr">
        <is>
          <t>Displacement strokes</t>
        </is>
      </c>
      <c r="B54" s="59">
        <f>ROUNDUP(ROUND($B$53/$B$52,6),0)</f>
        <v/>
      </c>
      <c r="C54" s="30" t="inlineStr">
        <is>
          <t>stk</t>
        </is>
      </c>
    </row>
    <row r="56">
      <c r="A56" s="25" t="inlineStr">
        <is>
          <t>Cement Contact Time</t>
        </is>
      </c>
      <c r="B56" s="26" t="n"/>
      <c r="C56" s="26" t="n"/>
      <c r="D56" s="26" t="n"/>
      <c r="E56" s="26" t="n"/>
      <c r="F56" s="49" t="inlineStr">
        <is>
          <t>CT [min] = V_slurry / pump rate</t>
        </is>
      </c>
    </row>
    <row r="57">
      <c r="A57" t="inlineStr"/>
      <c r="F57" s="27" t="inlineStr">
        <is>
          <t>Time slurry flows past a point in the annulus (e.g. a zone to isolate); 10 min minimum turbulent contact time is a common design target.</t>
        </is>
      </c>
    </row>
    <row r="58">
      <c r="A58" s="28" t="inlineStr">
        <is>
          <t>Slurry volume pumped</t>
        </is>
      </c>
      <c r="B58" s="85" t="n">
        <v>100</v>
      </c>
      <c r="C58" s="30" t="inlineStr">
        <is>
          <t>bbl</t>
        </is>
      </c>
      <c r="D58" s="61">
        <f>IFERROR($B$58*0.1589873,NA())</f>
        <v/>
      </c>
      <c r="E58" s="30" t="inlineStr">
        <is>
          <t>m3</t>
        </is>
      </c>
    </row>
    <row r="59">
      <c r="A59" s="28" t="inlineStr">
        <is>
          <t>Pump rate</t>
        </is>
      </c>
      <c r="B59" s="41" t="n">
        <v>5</v>
      </c>
      <c r="C59" s="30" t="inlineStr">
        <is>
          <t>bbl/min</t>
        </is>
      </c>
      <c r="D59" s="42">
        <f>IFERROR($B$59*0.1589873,NA())</f>
        <v/>
      </c>
      <c r="E59" s="30" t="inlineStr">
        <is>
          <t>m3/min</t>
        </is>
      </c>
    </row>
    <row r="60">
      <c r="A60" s="28" t="inlineStr">
        <is>
          <t>Contact time</t>
        </is>
      </c>
      <c r="B60" s="54">
        <f>$B$58/$B$59</f>
        <v/>
      </c>
      <c r="C60" s="30" t="inlineStr">
        <is>
          <t>min</t>
        </is>
      </c>
    </row>
    <row r="62" ht="20" customHeight="1">
      <c r="A62" s="23" t="inlineStr">
        <is>
          <t>Balanced Cement Plug</t>
        </is>
      </c>
      <c r="B62" s="24" t="n"/>
      <c r="C62" s="24" t="n"/>
      <c r="D62" s="24" t="n"/>
      <c r="E62" s="24" t="n"/>
      <c r="F62" s="24" t="n"/>
    </row>
    <row r="64">
      <c r="A64" s="25" t="inlineStr">
        <is>
          <t>Balanced Plug: Sacks, Heights, Spacer &amp; Displacement</t>
        </is>
      </c>
      <c r="B64" s="26" t="n"/>
      <c r="C64" s="26" t="n"/>
      <c r="D64" s="26" t="n"/>
      <c r="E64" s="26" t="n"/>
      <c r="F64" s="49" t="inlineStr">
        <is>
          <t>V_slurry = L_plug x C_hole x 5.615 / yield [sacks];   H = V_slurry / (C_ann + C_pipe);   V_behind = V_ahead x C_pipe / C_ann;   V_disp = C_pipe x (D_set - H) - V_behind</t>
        </is>
      </c>
    </row>
    <row r="65">
      <c r="A65" t="inlineStr"/>
      <c r="F65" s="27" t="inlineStr">
        <is>
          <t>Stinger (drill pipe/tubing) run to plug base. Slurry stands at equal height H inside and outside the stinger; spacer behind balances the spacer ahead so no U-tube on pull-out. Pull slowly to just above the plug top and reverse circulate clean.</t>
        </is>
      </c>
    </row>
    <row r="66">
      <c r="A66" s="28" t="inlineStr">
        <is>
          <t>Desired plug length (pipe out)</t>
        </is>
      </c>
      <c r="B66" s="31" t="n">
        <v>500</v>
      </c>
      <c r="C66" s="30" t="inlineStr">
        <is>
          <t>ft</t>
        </is>
      </c>
      <c r="D66" s="32">
        <f>IFERROR($B$66*0.3048,NA())</f>
        <v/>
      </c>
      <c r="E66" s="30" t="inlineStr">
        <is>
          <t>m</t>
        </is>
      </c>
    </row>
    <row r="67">
      <c r="A67" s="28" t="inlineStr">
        <is>
          <t>Hole (or casing ID) diameter</t>
        </is>
      </c>
      <c r="B67" s="33" t="n">
        <v>8.5</v>
      </c>
      <c r="C67" s="30" t="inlineStr">
        <is>
          <t>in</t>
        </is>
      </c>
      <c r="D67" s="34">
        <f>IFERROR($B$67*25.4,NA())</f>
        <v/>
      </c>
      <c r="E67" s="30" t="inlineStr">
        <is>
          <t>mm</t>
        </is>
      </c>
    </row>
    <row r="68">
      <c r="A68" s="28" t="inlineStr">
        <is>
          <t>Stinger outside diameter</t>
        </is>
      </c>
      <c r="B68" s="33" t="n">
        <v>5</v>
      </c>
      <c r="C68" s="30" t="inlineStr">
        <is>
          <t>in</t>
        </is>
      </c>
      <c r="D68" s="34">
        <f>IFERROR($B$68*25.4,NA())</f>
        <v/>
      </c>
      <c r="E68" s="30" t="inlineStr">
        <is>
          <t>mm</t>
        </is>
      </c>
    </row>
    <row r="69">
      <c r="A69" s="28" t="inlineStr">
        <is>
          <t>Stinger capacity</t>
        </is>
      </c>
      <c r="B69" s="62" t="n">
        <v>0.01776</v>
      </c>
      <c r="C69" s="30" t="inlineStr">
        <is>
          <t>bbl/ft</t>
        </is>
      </c>
      <c r="D69" s="53">
        <f>IFERROR($B$69*0.5216119,NA())</f>
        <v/>
      </c>
      <c r="E69" s="30" t="inlineStr">
        <is>
          <t>m3/m</t>
        </is>
      </c>
    </row>
    <row r="70">
      <c r="A70" s="28" t="inlineStr">
        <is>
          <t>Plug base setting depth (MD)</t>
        </is>
      </c>
      <c r="B70" s="31" t="n">
        <v>8000</v>
      </c>
      <c r="C70" s="30" t="inlineStr">
        <is>
          <t>ft</t>
        </is>
      </c>
      <c r="D70" s="32">
        <f>IFERROR($B$70*0.3048,NA())</f>
        <v/>
      </c>
      <c r="E70" s="30" t="inlineStr">
        <is>
          <t>m</t>
        </is>
      </c>
    </row>
    <row r="71">
      <c r="A71" s="28" t="inlineStr">
        <is>
          <t>Slurry yield</t>
        </is>
      </c>
      <c r="B71" s="33" t="n">
        <v>1.18</v>
      </c>
      <c r="C71" s="30" t="inlineStr">
        <is>
          <t>ft3/sk</t>
        </is>
      </c>
      <c r="D71" s="34">
        <f>IFERROR($B$71*0.02831685,NA())</f>
        <v/>
      </c>
      <c r="E71" s="30" t="inlineStr">
        <is>
          <t>m3/sk</t>
        </is>
      </c>
    </row>
    <row r="72">
      <c r="A72" s="28" t="inlineStr">
        <is>
          <t>Spacer ahead</t>
        </is>
      </c>
      <c r="B72" s="37" t="n">
        <v>10</v>
      </c>
      <c r="C72" s="30" t="inlineStr">
        <is>
          <t>bbl</t>
        </is>
      </c>
      <c r="D72" s="40">
        <f>IFERROR($B$72*0.1589873,NA())</f>
        <v/>
      </c>
      <c r="E72" s="30" t="inlineStr">
        <is>
          <t>m3</t>
        </is>
      </c>
    </row>
    <row r="73">
      <c r="A73" s="28" t="inlineStr">
        <is>
          <t>Hole capacity</t>
        </is>
      </c>
      <c r="B73" s="52">
        <f>$B$67^2/1029.4</f>
        <v/>
      </c>
      <c r="C73" s="30" t="inlineStr">
        <is>
          <t>bbl/ft</t>
        </is>
      </c>
      <c r="D73" s="53">
        <f>IFERROR($B$73*0.5216119,NA())</f>
        <v/>
      </c>
      <c r="E73" s="30" t="inlineStr">
        <is>
          <t>m3/m</t>
        </is>
      </c>
    </row>
    <row r="74">
      <c r="A74" s="28" t="inlineStr">
        <is>
          <t>Annular capacity (hole - stinger)</t>
        </is>
      </c>
      <c r="B74" s="52">
        <f>($B$67^2-$B$68^2)/1029.4</f>
        <v/>
      </c>
      <c r="C74" s="30" t="inlineStr">
        <is>
          <t>bbl/ft</t>
        </is>
      </c>
      <c r="D74" s="53">
        <f>IFERROR($B$74*0.5216119,NA())</f>
        <v/>
      </c>
      <c r="E74" s="30" t="inlineStr">
        <is>
          <t>m3/m</t>
        </is>
      </c>
    </row>
    <row r="75">
      <c r="A75" s="28" t="inlineStr">
        <is>
          <t>Slurry volume</t>
        </is>
      </c>
      <c r="B75" s="54">
        <f>$B$66*$B$73</f>
        <v/>
      </c>
      <c r="C75" s="30" t="inlineStr">
        <is>
          <t>bbl</t>
        </is>
      </c>
      <c r="D75" s="40">
        <f>IFERROR($B$75*0.1589873,NA())</f>
        <v/>
      </c>
      <c r="E75" s="30" t="inlineStr">
        <is>
          <t>m3</t>
        </is>
      </c>
    </row>
    <row r="76">
      <c r="A76" s="28" t="inlineStr">
        <is>
          <t>Sacks required</t>
        </is>
      </c>
      <c r="B76" s="59">
        <f>ROUNDUP(ROUND($B$75*5.615/$B$71,6),0)</f>
        <v/>
      </c>
      <c r="C76" s="30" t="inlineStr"/>
      <c r="F76" s="27" t="inlineStr">
        <is>
          <t>Sacks.</t>
        </is>
      </c>
    </row>
    <row r="77">
      <c r="A77" s="28" t="inlineStr">
        <is>
          <t>Plug height with stinger in hole</t>
        </is>
      </c>
      <c r="B77" s="59">
        <f>$B$75/($B$74+$B$69)</f>
        <v/>
      </c>
      <c r="C77" s="30" t="inlineStr">
        <is>
          <t>ft</t>
        </is>
      </c>
      <c r="D77" s="32">
        <f>IFERROR($B$77*0.3048,NA())</f>
        <v/>
      </c>
      <c r="E77" s="30" t="inlineStr">
        <is>
          <t>m</t>
        </is>
      </c>
    </row>
    <row r="78">
      <c r="A78" s="28" t="inlineStr">
        <is>
          <t>Spacer behind (balance)</t>
        </is>
      </c>
      <c r="B78" s="51">
        <f>$B$72*$B$69/$B$74</f>
        <v/>
      </c>
      <c r="C78" s="30" t="inlineStr">
        <is>
          <t>bbl</t>
        </is>
      </c>
      <c r="D78" s="42">
        <f>IFERROR($B$78*0.1589873,NA())</f>
        <v/>
      </c>
      <c r="E78" s="30" t="inlineStr">
        <is>
          <t>m3</t>
        </is>
      </c>
    </row>
    <row r="79">
      <c r="A79" s="28" t="inlineStr">
        <is>
          <t>Displacement mud volume</t>
        </is>
      </c>
      <c r="B79" s="60">
        <f>$B$69*($B$70-$B$77)-$B$78</f>
        <v/>
      </c>
      <c r="C79" s="30" t="inlineStr">
        <is>
          <t>bbl</t>
        </is>
      </c>
      <c r="D79" s="61">
        <f>IFERROR($B$79*0.1589873,NA())</f>
        <v/>
      </c>
      <c r="E79" s="30" t="inlineStr">
        <is>
          <t>m3</t>
        </is>
      </c>
    </row>
    <row r="80">
      <c r="A80" s="28" t="inlineStr">
        <is>
          <t>Pull stinger to (depth)</t>
        </is>
      </c>
      <c r="B80" s="59">
        <f>$B$70-$B$77</f>
        <v/>
      </c>
      <c r="C80" s="30" t="inlineStr">
        <is>
          <t>ft</t>
        </is>
      </c>
      <c r="D80" s="32">
        <f>IFERROR($B$80*0.3048,NA())</f>
        <v/>
      </c>
      <c r="E80" s="30" t="inlineStr">
        <is>
          <t>m</t>
        </is>
      </c>
      <c r="F80" s="27" t="inlineStr">
        <is>
          <t>Top of slurry with pipe in hole; pull above this before circulating.</t>
        </is>
      </c>
    </row>
    <row r="82" ht="20" customHeight="1">
      <c r="A82" s="23" t="inlineStr">
        <is>
          <t>Hydrostatics &amp; Loads</t>
        </is>
      </c>
      <c r="B82" s="24" t="n"/>
      <c r="C82" s="24" t="n"/>
      <c r="D82" s="24" t="n"/>
      <c r="E82" s="24" t="n"/>
      <c r="F82" s="24" t="n"/>
    </row>
    <row r="84">
      <c r="A84" s="25" t="inlineStr">
        <is>
          <t>Hydrostatic Pressure &amp; ECD at Shoe (Multiple Columns)</t>
        </is>
      </c>
      <c r="B84" s="26" t="n"/>
      <c r="C84" s="26" t="n"/>
      <c r="D84" s="26" t="n"/>
      <c r="E84" s="26" t="n"/>
      <c r="F84" s="49" t="inlineStr">
        <is>
          <t>P = 0.052 x sum( MW_i x L_tvd_i );   EMW = P / (0.052 x TVD_shoe);   ECD = EMW + APL/(0.052 x TVD)</t>
        </is>
      </c>
    </row>
    <row r="85">
      <c r="A85" t="inlineStr"/>
      <c r="F85" s="27" t="inlineStr">
        <is>
          <t>TVD lengths of mud, spacer, lead and tail in the annulus must sum to shoe TVD. Check ECD against the fracture gradient at the shoe and weak zones.</t>
        </is>
      </c>
    </row>
    <row r="86">
      <c r="A86" s="28" t="inlineStr">
        <is>
          <t>Mud density</t>
        </is>
      </c>
      <c r="B86" s="35" t="n">
        <v>12</v>
      </c>
      <c r="C86" s="30" t="inlineStr">
        <is>
          <t>ppg</t>
        </is>
      </c>
      <c r="D86" s="36">
        <f>IFERROR($B$86*119.8264,NA())</f>
        <v/>
      </c>
      <c r="E86" s="30" t="inlineStr">
        <is>
          <t>kg/m3</t>
        </is>
      </c>
    </row>
    <row r="87">
      <c r="A87" s="28" t="inlineStr">
        <is>
          <t>Mud column TVD length</t>
        </is>
      </c>
      <c r="B87" s="31" t="n">
        <v>4000</v>
      </c>
      <c r="C87" s="30" t="inlineStr">
        <is>
          <t>ft</t>
        </is>
      </c>
      <c r="D87" s="32">
        <f>IFERROR($B$87*0.3048,NA())</f>
        <v/>
      </c>
      <c r="E87" s="30" t="inlineStr">
        <is>
          <t>m</t>
        </is>
      </c>
    </row>
    <row r="88">
      <c r="A88" s="28" t="inlineStr">
        <is>
          <t>Spacer density</t>
        </is>
      </c>
      <c r="B88" s="35" t="n">
        <v>12.5</v>
      </c>
      <c r="C88" s="30" t="inlineStr">
        <is>
          <t>ppg</t>
        </is>
      </c>
      <c r="D88" s="36">
        <f>IFERROR($B$88*119.8264,NA())</f>
        <v/>
      </c>
      <c r="E88" s="30" t="inlineStr">
        <is>
          <t>kg/m3</t>
        </is>
      </c>
    </row>
    <row r="89">
      <c r="A89" s="28" t="inlineStr">
        <is>
          <t>Spacer column TVD length</t>
        </is>
      </c>
      <c r="B89" s="31" t="n">
        <v>1000</v>
      </c>
      <c r="C89" s="30" t="inlineStr">
        <is>
          <t>ft</t>
        </is>
      </c>
      <c r="D89" s="32">
        <f>IFERROR($B$89*0.3048,NA())</f>
        <v/>
      </c>
      <c r="E89" s="30" t="inlineStr">
        <is>
          <t>m</t>
        </is>
      </c>
    </row>
    <row r="90">
      <c r="A90" s="28" t="inlineStr">
        <is>
          <t>Lead slurry density</t>
        </is>
      </c>
      <c r="B90" s="35" t="n">
        <v>13.5</v>
      </c>
      <c r="C90" s="30" t="inlineStr">
        <is>
          <t>ppg</t>
        </is>
      </c>
      <c r="D90" s="36">
        <f>IFERROR($B$90*119.8264,NA())</f>
        <v/>
      </c>
      <c r="E90" s="30" t="inlineStr">
        <is>
          <t>kg/m3</t>
        </is>
      </c>
    </row>
    <row r="91">
      <c r="A91" s="28" t="inlineStr">
        <is>
          <t>Lead column TVD length</t>
        </is>
      </c>
      <c r="B91" s="31" t="n">
        <v>4000</v>
      </c>
      <c r="C91" s="30" t="inlineStr">
        <is>
          <t>ft</t>
        </is>
      </c>
      <c r="D91" s="32">
        <f>IFERROR($B$91*0.3048,NA())</f>
        <v/>
      </c>
      <c r="E91" s="30" t="inlineStr">
        <is>
          <t>m</t>
        </is>
      </c>
    </row>
    <row r="92">
      <c r="A92" s="28" t="inlineStr">
        <is>
          <t>Tail slurry density</t>
        </is>
      </c>
      <c r="B92" s="35" t="n">
        <v>15.8</v>
      </c>
      <c r="C92" s="30" t="inlineStr">
        <is>
          <t>ppg</t>
        </is>
      </c>
      <c r="D92" s="36">
        <f>IFERROR($B$92*119.8264,NA())</f>
        <v/>
      </c>
      <c r="E92" s="30" t="inlineStr">
        <is>
          <t>kg/m3</t>
        </is>
      </c>
    </row>
    <row r="93">
      <c r="A93" s="28" t="inlineStr">
        <is>
          <t>Tail column TVD length</t>
        </is>
      </c>
      <c r="B93" s="31" t="n">
        <v>1000</v>
      </c>
      <c r="C93" s="30" t="inlineStr">
        <is>
          <t>ft</t>
        </is>
      </c>
      <c r="D93" s="32">
        <f>IFERROR($B$93*0.3048,NA())</f>
        <v/>
      </c>
      <c r="E93" s="30" t="inlineStr">
        <is>
          <t>m</t>
        </is>
      </c>
    </row>
    <row r="94">
      <c r="A94" s="28" t="inlineStr">
        <is>
          <t>Annular friction loss while pumping</t>
        </is>
      </c>
      <c r="B94" s="31" t="n">
        <v>150</v>
      </c>
      <c r="C94" s="30" t="inlineStr">
        <is>
          <t>psi</t>
        </is>
      </c>
      <c r="D94" s="32">
        <f>IFERROR($B$94*6.894757,NA())</f>
        <v/>
      </c>
      <c r="E94" s="30" t="inlineStr">
        <is>
          <t>kPa</t>
        </is>
      </c>
    </row>
    <row r="95">
      <c r="A95" s="28" t="inlineStr">
        <is>
          <t>Hydrostatic pressure at shoe</t>
        </is>
      </c>
      <c r="B95" s="59">
        <f>0.052*($B$86*$B$87+$B$88*$B$89+$B$90*$B$91+$B$92*$B$93)</f>
        <v/>
      </c>
      <c r="C95" s="30" t="inlineStr">
        <is>
          <t>psi</t>
        </is>
      </c>
      <c r="D95" s="32">
        <f>IFERROR($B$95*6.894757,NA())</f>
        <v/>
      </c>
      <c r="E95" s="30" t="inlineStr">
        <is>
          <t>kPa</t>
        </is>
      </c>
    </row>
    <row r="96">
      <c r="A96" s="28" t="inlineStr">
        <is>
          <t>Shoe TVD (sum of columns)</t>
        </is>
      </c>
      <c r="B96" s="59">
        <f>$B$87+$B$89+$B$91+$B$93</f>
        <v/>
      </c>
      <c r="C96" s="30" t="inlineStr">
        <is>
          <t>ft</t>
        </is>
      </c>
      <c r="D96" s="32">
        <f>IFERROR($B$96*0.3048,NA())</f>
        <v/>
      </c>
      <c r="E96" s="30" t="inlineStr">
        <is>
          <t>m</t>
        </is>
      </c>
    </row>
    <row r="97">
      <c r="A97" s="28" t="inlineStr">
        <is>
          <t>Static equivalent mud weight at shoe</t>
        </is>
      </c>
      <c r="B97" s="56">
        <f>$B$95/(0.052*$B$96)</f>
        <v/>
      </c>
      <c r="C97" s="30" t="inlineStr">
        <is>
          <t>ppg</t>
        </is>
      </c>
      <c r="D97" s="36">
        <f>IFERROR($B$97*119.8264,NA())</f>
        <v/>
      </c>
      <c r="E97" s="30" t="inlineStr">
        <is>
          <t>kg/m3</t>
        </is>
      </c>
    </row>
    <row r="98">
      <c r="A98" s="28" t="inlineStr">
        <is>
          <t>ECD at shoe while pumping</t>
        </is>
      </c>
      <c r="B98" s="56">
        <f>$B$97+$B$94/(0.052*$B$96)</f>
        <v/>
      </c>
      <c r="C98" s="30" t="inlineStr">
        <is>
          <t>ppg</t>
        </is>
      </c>
      <c r="D98" s="36">
        <f>IFERROR($B$98*119.8264,NA())</f>
        <v/>
      </c>
      <c r="E98" s="30" t="inlineStr">
        <is>
          <t>kg/m3</t>
        </is>
      </c>
    </row>
    <row r="100">
      <c r="A100" s="25" t="inlineStr">
        <is>
          <t>Plug Bump: Differential, Force &amp; Pressure Margin</t>
        </is>
      </c>
      <c r="B100" s="26" t="n"/>
      <c r="C100" s="26" t="n"/>
      <c r="D100" s="26" t="n"/>
      <c r="E100" s="26" t="n"/>
      <c r="F100" s="49" t="inlineStr">
        <is>
          <t>dP_float = P_bump + P_hyd_inside - P_hyd_annulus;   F = dP x PI()/4 x ID^2;   Margin = burst rating x DF - P_bump</t>
        </is>
      </c>
    </row>
    <row r="101">
      <c r="A101" t="inlineStr"/>
      <c r="F101" s="27" t="inlineStr">
        <is>
          <t>At bump the inside is full of displacement fluid, the annulus full of cement/spacer/mud - the float carries the differential. Do not exceed the casing internal yield x design factor at surface when bumping.</t>
        </is>
      </c>
    </row>
    <row r="102">
      <c r="A102" s="28" t="inlineStr">
        <is>
          <t>Surface bump pressure</t>
        </is>
      </c>
      <c r="B102" s="31" t="n">
        <v>1200</v>
      </c>
      <c r="C102" s="30" t="inlineStr">
        <is>
          <t>psi</t>
        </is>
      </c>
      <c r="D102" s="32">
        <f>IFERROR($B$102*6.894757,NA())</f>
        <v/>
      </c>
      <c r="E102" s="30" t="inlineStr">
        <is>
          <t>kPa</t>
        </is>
      </c>
      <c r="F102" s="27" t="inlineStr">
        <is>
          <t>Final displacement pressure + 500 psi is a common bump target.</t>
        </is>
      </c>
    </row>
    <row r="103">
      <c r="A103" s="28" t="inlineStr">
        <is>
          <t>Hydrostatic inside casing</t>
        </is>
      </c>
      <c r="B103" s="31" t="n">
        <v>6240</v>
      </c>
      <c r="C103" s="30" t="inlineStr">
        <is>
          <t>psi</t>
        </is>
      </c>
      <c r="D103" s="32">
        <f>IFERROR($B$103*6.894757,NA())</f>
        <v/>
      </c>
      <c r="E103" s="30" t="inlineStr">
        <is>
          <t>kPa</t>
        </is>
      </c>
    </row>
    <row r="104">
      <c r="A104" s="28" t="inlineStr">
        <is>
          <t>Hydrostatic in annulus</t>
        </is>
      </c>
      <c r="B104" s="31" t="n">
        <v>6776</v>
      </c>
      <c r="C104" s="30" t="inlineStr">
        <is>
          <t>psi</t>
        </is>
      </c>
      <c r="D104" s="32">
        <f>IFERROR($B$104*6.894757,NA())</f>
        <v/>
      </c>
      <c r="E104" s="30" t="inlineStr">
        <is>
          <t>kPa</t>
        </is>
      </c>
    </row>
    <row r="105">
      <c r="A105" s="28" t="inlineStr">
        <is>
          <t>Casing inside diameter (ID)</t>
        </is>
      </c>
      <c r="B105" s="33" t="n">
        <v>8.680999999999999</v>
      </c>
      <c r="C105" s="30" t="inlineStr">
        <is>
          <t>in</t>
        </is>
      </c>
      <c r="D105" s="34">
        <f>IFERROR($B$105*25.4,NA())</f>
        <v/>
      </c>
      <c r="E105" s="30" t="inlineStr">
        <is>
          <t>mm</t>
        </is>
      </c>
    </row>
    <row r="106">
      <c r="A106" s="28" t="inlineStr">
        <is>
          <t>Casing internal yield (burst) rating</t>
        </is>
      </c>
      <c r="B106" s="31" t="n">
        <v>6870</v>
      </c>
      <c r="C106" s="30" t="inlineStr">
        <is>
          <t>psi</t>
        </is>
      </c>
      <c r="D106" s="32">
        <f>IFERROR($B$106*6.894757,NA())</f>
        <v/>
      </c>
      <c r="E106" s="30" t="inlineStr">
        <is>
          <t>kPa</t>
        </is>
      </c>
    </row>
    <row r="107">
      <c r="A107" s="28" t="inlineStr">
        <is>
          <t>Burst design factor on bump</t>
        </is>
      </c>
      <c r="B107" s="41" t="n">
        <v>0.8</v>
      </c>
      <c r="C107" s="30" t="inlineStr"/>
    </row>
    <row r="108">
      <c r="A108" s="28" t="inlineStr">
        <is>
          <t>Differential across float at bump</t>
        </is>
      </c>
      <c r="B108" s="59">
        <f>$B$102+$B$103-$B$104</f>
        <v/>
      </c>
      <c r="C108" s="30" t="inlineStr">
        <is>
          <t>psi</t>
        </is>
      </c>
      <c r="D108" s="32">
        <f>IFERROR($B$108*6.894757,NA())</f>
        <v/>
      </c>
      <c r="E108" s="30" t="inlineStr">
        <is>
          <t>kPa</t>
        </is>
      </c>
    </row>
    <row r="109">
      <c r="A109" s="28" t="inlineStr">
        <is>
          <t>Axial force on casing/plug</t>
        </is>
      </c>
      <c r="B109" s="59">
        <f>$B$108*PI()/4*$B$105^2</f>
        <v/>
      </c>
      <c r="C109" s="30" t="inlineStr">
        <is>
          <t>lbf</t>
        </is>
      </c>
      <c r="D109" s="32">
        <f>IFERROR($B$109*0.004448222,NA())</f>
        <v/>
      </c>
      <c r="E109" s="30" t="inlineStr">
        <is>
          <t>kN</t>
        </is>
      </c>
    </row>
    <row r="110">
      <c r="A110" s="28" t="inlineStr">
        <is>
          <t>Surface pressure margin to rating</t>
        </is>
      </c>
      <c r="B110" s="59">
        <f>$B$106*$B$107-$B$102</f>
        <v/>
      </c>
      <c r="C110" s="30" t="inlineStr">
        <is>
          <t>psi</t>
        </is>
      </c>
      <c r="D110" s="32">
        <f>IFERROR($B$110*6.894757,NA())</f>
        <v/>
      </c>
      <c r="E110" s="30" t="inlineStr">
        <is>
          <t>kPa</t>
        </is>
      </c>
    </row>
  </sheetData>
  <sheetProtection selectLockedCells="0" selectUnlockedCells="0" sheet="1" objects="0" insertRows="1" insertHyperlinks="1" autoFilter="1" scenarios="0" formatColumns="0" deleteColumns="1" insertColumns="1" pivotTables="1" deleteRows="1" formatCells="1" formatRows="0" sort="1"/>
  <mergeCells count="6">
    <mergeCell ref="A2:F2"/>
    <mergeCell ref="A82:F82"/>
    <mergeCell ref="A1:F1"/>
    <mergeCell ref="A6:F6"/>
    <mergeCell ref="A62:F62"/>
    <mergeCell ref="A26:F26"/>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22.xml><?xml version="1.0" encoding="utf-8"?>
<worksheet xmlns="http://schemas.openxmlformats.org/spreadsheetml/2006/main">
  <sheetPr>
    <tabColor rgb="002E75B6"/>
    <outlinePr summaryBelow="1" summaryRight="1"/>
    <pageSetUpPr/>
  </sheetPr>
  <dimension ref="A1:F84"/>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Casing &amp; Tubular Design</t>
        </is>
      </c>
      <c r="B1" s="2" t="n"/>
      <c r="C1" s="2" t="n"/>
      <c r="D1" s="2" t="n"/>
      <c r="E1" s="2" t="n"/>
      <c r="F1" s="2" t="n"/>
    </row>
    <row r="2">
      <c r="A2" s="20" t="inlineStr">
        <is>
          <t>Barlow burst, collapse and tension load cases with safety factors, biaxial correction, MASP, landing stretch</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Pipe Body Properties</t>
        </is>
      </c>
      <c r="B6" s="24" t="n"/>
      <c r="C6" s="24" t="n"/>
      <c r="D6" s="24" t="n"/>
      <c r="E6" s="24" t="n"/>
      <c r="F6" s="24" t="n"/>
    </row>
    <row r="8">
      <c r="A8" s="25" t="inlineStr">
        <is>
          <t>Cross-Section Area &amp; Pipe Body Yield</t>
        </is>
      </c>
      <c r="B8" s="26" t="n"/>
      <c r="C8" s="26" t="n"/>
      <c r="D8" s="26" t="n"/>
      <c r="E8" s="26" t="n"/>
      <c r="F8" s="49" t="inlineStr">
        <is>
          <t>t = (OD - ID)/2;   A [in2] = PI()/4 x (OD^2 - ID^2);   Fy [lbf] = Yp x A</t>
        </is>
      </c>
    </row>
    <row r="9">
      <c r="A9" t="inlineStr"/>
      <c r="F9" s="27" t="inlineStr">
        <is>
          <t>9-5/8 in 47 lb/ft N-80 shown (ID 8.681 in, Yp 80,000 psi).</t>
        </is>
      </c>
    </row>
    <row r="10">
      <c r="A10" s="28" t="inlineStr">
        <is>
          <t>Casing outside diameter (OD)</t>
        </is>
      </c>
      <c r="B10" s="33" t="n">
        <v>9.625</v>
      </c>
      <c r="C10" s="30" t="inlineStr">
        <is>
          <t>in</t>
        </is>
      </c>
      <c r="D10" s="34">
        <f>IFERROR($B$10*25.4,NA())</f>
        <v/>
      </c>
      <c r="E10" s="30" t="inlineStr">
        <is>
          <t>mm</t>
        </is>
      </c>
    </row>
    <row r="11">
      <c r="A11" s="28" t="inlineStr">
        <is>
          <t>Casing inside diameter (ID)</t>
        </is>
      </c>
      <c r="B11" s="33" t="n">
        <v>8.680999999999999</v>
      </c>
      <c r="C11" s="30" t="inlineStr">
        <is>
          <t>in</t>
        </is>
      </c>
      <c r="D11" s="34">
        <f>IFERROR($B$11*25.4,NA())</f>
        <v/>
      </c>
      <c r="E11" s="30" t="inlineStr">
        <is>
          <t>mm</t>
        </is>
      </c>
    </row>
    <row r="12">
      <c r="A12" s="28" t="inlineStr">
        <is>
          <t>Minimum yield strength (Yp)</t>
        </is>
      </c>
      <c r="B12" s="31" t="n">
        <v>80000</v>
      </c>
      <c r="C12" s="30" t="inlineStr">
        <is>
          <t>psi</t>
        </is>
      </c>
      <c r="D12" s="32">
        <f>IFERROR($B$12*6.894757,NA())</f>
        <v/>
      </c>
      <c r="E12" s="30" t="inlineStr">
        <is>
          <t>kPa</t>
        </is>
      </c>
    </row>
    <row r="13">
      <c r="A13" s="28" t="inlineStr">
        <is>
          <t>Nominal wall thickness (t)</t>
        </is>
      </c>
      <c r="B13" s="50">
        <f>($B$10-$B$11)/2</f>
        <v/>
      </c>
      <c r="C13" s="30" t="inlineStr">
        <is>
          <t>in</t>
        </is>
      </c>
      <c r="D13" s="34">
        <f>IFERROR($B$13*25.4,NA())</f>
        <v/>
      </c>
      <c r="E13" s="30" t="inlineStr">
        <is>
          <t>mm</t>
        </is>
      </c>
    </row>
    <row r="14">
      <c r="A14" s="28" t="inlineStr">
        <is>
          <t>Pipe body cross-section area (A)</t>
        </is>
      </c>
      <c r="B14" s="50">
        <f>PI()/4*($B$10^2-$B$11^2)</f>
        <v/>
      </c>
      <c r="C14" s="30" t="inlineStr">
        <is>
          <t>in2</t>
        </is>
      </c>
      <c r="D14" s="34">
        <f>IFERROR($B$14*6.4516,NA())</f>
        <v/>
      </c>
      <c r="E14" s="30" t="inlineStr">
        <is>
          <t>cm2</t>
        </is>
      </c>
    </row>
    <row r="15">
      <c r="A15" s="28" t="inlineStr">
        <is>
          <t>Pipe body yield strength (Fy)</t>
        </is>
      </c>
      <c r="B15" s="59">
        <f>$B$12*$B$14</f>
        <v/>
      </c>
      <c r="C15" s="30" t="inlineStr">
        <is>
          <t>lbf</t>
        </is>
      </c>
      <c r="D15" s="32">
        <f>IFERROR($B$15*0.004448222,NA())</f>
        <v/>
      </c>
      <c r="E15" s="30" t="inlineStr">
        <is>
          <t>kN</t>
        </is>
      </c>
    </row>
    <row r="17" ht="20" customHeight="1">
      <c r="A17" s="23" t="inlineStr">
        <is>
          <t>Burst</t>
        </is>
      </c>
      <c r="B17" s="24" t="n"/>
      <c r="C17" s="24" t="n"/>
      <c r="D17" s="24" t="n"/>
      <c r="E17" s="24" t="n"/>
      <c r="F17" s="24" t="n"/>
    </row>
    <row r="19">
      <c r="A19" s="25" t="inlineStr">
        <is>
          <t>Internal Yield (Barlow) with Wall Tolerance &amp; Design Factor</t>
        </is>
      </c>
      <c r="B19" s="26" t="n"/>
      <c r="C19" s="26" t="n"/>
      <c r="D19" s="26" t="n"/>
      <c r="E19" s="26" t="n"/>
      <c r="F19" s="49" t="inlineStr">
        <is>
          <t>P_burst = 0.875 x 2 x Yp x t / OD;   Working limit = P_burst / DF</t>
        </is>
      </c>
    </row>
    <row r="20">
      <c r="A20" t="inlineStr"/>
      <c r="F20" s="27" t="inlineStr">
        <is>
          <t>API internal yield: Barlow thin-wall formula with 87.5% minimum wall (12.5% API manufacturing tolerance). Typical burst design factor 1.1.</t>
        </is>
      </c>
    </row>
    <row r="21">
      <c r="A21" s="28" t="inlineStr">
        <is>
          <t>Casing outside diameter (OD)</t>
        </is>
      </c>
      <c r="B21" s="33" t="n">
        <v>9.625</v>
      </c>
      <c r="C21" s="30" t="inlineStr">
        <is>
          <t>in</t>
        </is>
      </c>
      <c r="D21" s="34">
        <f>IFERROR($B$21*25.4,NA())</f>
        <v/>
      </c>
      <c r="E21" s="30" t="inlineStr">
        <is>
          <t>mm</t>
        </is>
      </c>
    </row>
    <row r="22">
      <c r="A22" s="28" t="inlineStr">
        <is>
          <t>Casing inside diameter (ID)</t>
        </is>
      </c>
      <c r="B22" s="33" t="n">
        <v>8.680999999999999</v>
      </c>
      <c r="C22" s="30" t="inlineStr">
        <is>
          <t>in</t>
        </is>
      </c>
      <c r="D22" s="34">
        <f>IFERROR($B$22*25.4,NA())</f>
        <v/>
      </c>
      <c r="E22" s="30" t="inlineStr">
        <is>
          <t>mm</t>
        </is>
      </c>
    </row>
    <row r="23">
      <c r="A23" s="28" t="inlineStr">
        <is>
          <t>Minimum yield strength (Yp)</t>
        </is>
      </c>
      <c r="B23" s="31" t="n">
        <v>80000</v>
      </c>
      <c r="C23" s="30" t="inlineStr">
        <is>
          <t>psi</t>
        </is>
      </c>
      <c r="D23" s="32">
        <f>IFERROR($B$23*6.894757,NA())</f>
        <v/>
      </c>
      <c r="E23" s="30" t="inlineStr">
        <is>
          <t>kPa</t>
        </is>
      </c>
    </row>
    <row r="24">
      <c r="A24" s="28" t="inlineStr">
        <is>
          <t>Burst design factor (DF)</t>
        </is>
      </c>
      <c r="B24" s="41" t="n">
        <v>1.1</v>
      </c>
      <c r="C24" s="30" t="inlineStr"/>
    </row>
    <row r="25">
      <c r="A25" s="28" t="inlineStr">
        <is>
          <t>Internal yield (burst) rating</t>
        </is>
      </c>
      <c r="B25" s="59">
        <f>0.875*2*$B$23*(($B$21-$B$22)/2)/$B$21</f>
        <v/>
      </c>
      <c r="C25" s="30" t="inlineStr">
        <is>
          <t>psi</t>
        </is>
      </c>
      <c r="D25" s="32">
        <f>IFERROR($B$25*6.894757,NA())</f>
        <v/>
      </c>
      <c r="E25" s="30" t="inlineStr">
        <is>
          <t>kPa</t>
        </is>
      </c>
      <c r="F25" s="27" t="inlineStr">
        <is>
          <t>Matches the API catalog rating (6,870 psi for 9-5/8 47# N-80).</t>
        </is>
      </c>
    </row>
    <row r="26">
      <c r="A26" s="28" t="inlineStr">
        <is>
          <t>Maximum working burst pressure</t>
        </is>
      </c>
      <c r="B26" s="59">
        <f>$B$25/$B$24</f>
        <v/>
      </c>
      <c r="C26" s="30" t="inlineStr">
        <is>
          <t>psi</t>
        </is>
      </c>
      <c r="D26" s="32">
        <f>IFERROR($B$26*6.894757,NA())</f>
        <v/>
      </c>
      <c r="E26" s="30" t="inlineStr">
        <is>
          <t>kPa</t>
        </is>
      </c>
    </row>
    <row r="28">
      <c r="A28" s="25" t="inlineStr">
        <is>
          <t>Burst Load Case: Gas to Surface &amp; MASP</t>
        </is>
      </c>
      <c r="B28" s="26" t="n"/>
      <c r="C28" s="26" t="n"/>
      <c r="D28" s="26" t="n"/>
      <c r="E28" s="26" t="n"/>
      <c r="F28" s="49" t="inlineStr">
        <is>
          <t>MASP = P_form - G_gas x TVD_form;   Burst load = P_internal - P_external (backup)</t>
        </is>
      </c>
    </row>
    <row r="29">
      <c r="A29" t="inlineStr"/>
      <c r="F29" s="27" t="inlineStr">
        <is>
          <t>Worst-case design load: well full of gas from the next-section TD. External backup is the mud/completion fluid gradient behind the casing (cement often ignored conservatively).</t>
        </is>
      </c>
    </row>
    <row r="30">
      <c r="A30" s="28" t="inlineStr">
        <is>
          <t>Formation pore pressure gradient</t>
        </is>
      </c>
      <c r="B30" s="35" t="n">
        <v>13</v>
      </c>
      <c r="C30" s="30" t="inlineStr">
        <is>
          <t>ppg</t>
        </is>
      </c>
      <c r="D30" s="36">
        <f>IFERROR($B$30*119.8264,NA())</f>
        <v/>
      </c>
      <c r="E30" s="30" t="inlineStr">
        <is>
          <t>kg/m3</t>
        </is>
      </c>
      <c r="F30" s="27" t="inlineStr">
        <is>
          <t>At next-section TD, as EMW.</t>
        </is>
      </c>
    </row>
    <row r="31">
      <c r="A31" s="28" t="inlineStr">
        <is>
          <t>Formation (next TD) TVD</t>
        </is>
      </c>
      <c r="B31" s="31" t="n">
        <v>10000</v>
      </c>
      <c r="C31" s="30" t="inlineStr">
        <is>
          <t>ft</t>
        </is>
      </c>
      <c r="D31" s="32">
        <f>IFERROR($B$31*0.3048,NA())</f>
        <v/>
      </c>
      <c r="E31" s="30" t="inlineStr">
        <is>
          <t>m</t>
        </is>
      </c>
    </row>
    <row r="32">
      <c r="A32" s="28" t="inlineStr">
        <is>
          <t>Gas gradient</t>
        </is>
      </c>
      <c r="B32" s="33" t="n">
        <v>0.1</v>
      </c>
      <c r="C32" s="30" t="inlineStr">
        <is>
          <t>psi/ft</t>
        </is>
      </c>
      <c r="D32" s="34">
        <f>IFERROR($B$32*22.62059,NA())</f>
        <v/>
      </c>
      <c r="E32" s="30" t="inlineStr">
        <is>
          <t>kPa/m</t>
        </is>
      </c>
    </row>
    <row r="33">
      <c r="A33" s="28" t="inlineStr">
        <is>
          <t>Casing shoe TVD</t>
        </is>
      </c>
      <c r="B33" s="31" t="n">
        <v>6000</v>
      </c>
      <c r="C33" s="30" t="inlineStr">
        <is>
          <t>ft</t>
        </is>
      </c>
      <c r="D33" s="32">
        <f>IFERROR($B$33*0.3048,NA())</f>
        <v/>
      </c>
      <c r="E33" s="30" t="inlineStr">
        <is>
          <t>m</t>
        </is>
      </c>
    </row>
    <row r="34">
      <c r="A34" s="28" t="inlineStr">
        <is>
          <t>External backup fluid density</t>
        </is>
      </c>
      <c r="B34" s="35" t="n">
        <v>8.6</v>
      </c>
      <c r="C34" s="30" t="inlineStr">
        <is>
          <t>ppg</t>
        </is>
      </c>
      <c r="D34" s="36">
        <f>IFERROR($B$34*119.8264,NA())</f>
        <v/>
      </c>
      <c r="E34" s="30" t="inlineStr">
        <is>
          <t>kg/m3</t>
        </is>
      </c>
    </row>
    <row r="35">
      <c r="A35" s="28" t="inlineStr">
        <is>
          <t>Burst rating (derated if worn)</t>
        </is>
      </c>
      <c r="B35" s="31" t="n">
        <v>6870</v>
      </c>
      <c r="C35" s="30" t="inlineStr">
        <is>
          <t>psi</t>
        </is>
      </c>
      <c r="D35" s="32">
        <f>IFERROR($B$35*6.894757,NA())</f>
        <v/>
      </c>
      <c r="E35" s="30" t="inlineStr">
        <is>
          <t>kPa</t>
        </is>
      </c>
    </row>
    <row r="36">
      <c r="A36" s="28" t="inlineStr">
        <is>
          <t>Formation pressure</t>
        </is>
      </c>
      <c r="B36" s="59">
        <f>0.052*$B$30*$B$31</f>
        <v/>
      </c>
      <c r="C36" s="30" t="inlineStr">
        <is>
          <t>psi</t>
        </is>
      </c>
      <c r="D36" s="32">
        <f>IFERROR($B$36*6.894757,NA())</f>
        <v/>
      </c>
      <c r="E36" s="30" t="inlineStr">
        <is>
          <t>kPa</t>
        </is>
      </c>
    </row>
    <row r="37">
      <c r="A37" s="28" t="inlineStr">
        <is>
          <t>MASP (gas to surface)</t>
        </is>
      </c>
      <c r="B37" s="59">
        <f>$B$36-$B$32*$B$31</f>
        <v/>
      </c>
      <c r="C37" s="30" t="inlineStr">
        <is>
          <t>psi</t>
        </is>
      </c>
      <c r="D37" s="32">
        <f>IFERROR($B$37*6.894757,NA())</f>
        <v/>
      </c>
      <c r="E37" s="30" t="inlineStr">
        <is>
          <t>kPa</t>
        </is>
      </c>
    </row>
    <row r="38">
      <c r="A38" s="28" t="inlineStr">
        <is>
          <t>Burst load at surface</t>
        </is>
      </c>
      <c r="B38" s="59">
        <f>$B$37-0</f>
        <v/>
      </c>
      <c r="C38" s="30" t="inlineStr">
        <is>
          <t>psi</t>
        </is>
      </c>
      <c r="D38" s="32">
        <f>IFERROR($B$38*6.894757,NA())</f>
        <v/>
      </c>
      <c r="E38" s="30" t="inlineStr">
        <is>
          <t>kPa</t>
        </is>
      </c>
      <c r="F38" s="27" t="inlineStr">
        <is>
          <t>No backup at surface.</t>
        </is>
      </c>
    </row>
    <row r="39">
      <c r="A39" s="28" t="inlineStr">
        <is>
          <t>Burst load at shoe</t>
        </is>
      </c>
      <c r="B39" s="59">
        <f>$B$37+$B$32*$B$33-0.052*$B$34*$B$33</f>
        <v/>
      </c>
      <c r="C39" s="30" t="inlineStr">
        <is>
          <t>psi</t>
        </is>
      </c>
      <c r="D39" s="32">
        <f>IFERROR($B$39*6.894757,NA())</f>
        <v/>
      </c>
      <c r="E39" s="30" t="inlineStr">
        <is>
          <t>kPa</t>
        </is>
      </c>
    </row>
    <row r="40">
      <c r="A40" s="28" t="inlineStr">
        <is>
          <t>Burst SF at surface</t>
        </is>
      </c>
      <c r="B40" s="51">
        <f>$B$35/$B$38</f>
        <v/>
      </c>
      <c r="C40" s="30" t="inlineStr"/>
    </row>
    <row r="41">
      <c r="A41" s="28" t="inlineStr">
        <is>
          <t>Burst SF at shoe</t>
        </is>
      </c>
      <c r="B41" s="51">
        <f>$B$35/$B$39</f>
        <v/>
      </c>
      <c r="C41" s="30" t="inlineStr"/>
      <c r="F41" s="27" t="inlineStr">
        <is>
          <t>SF &gt;= 1.1 typical burst acceptance.</t>
        </is>
      </c>
    </row>
    <row r="43" ht="20" customHeight="1">
      <c r="A43" s="23" t="inlineStr">
        <is>
          <t>Collapse</t>
        </is>
      </c>
      <c r="B43" s="24" t="n"/>
      <c r="C43" s="24" t="n"/>
      <c r="D43" s="24" t="n"/>
      <c r="E43" s="24" t="n"/>
      <c r="F43" s="24" t="n"/>
    </row>
    <row r="45">
      <c r="A45" s="25" t="inlineStr">
        <is>
          <t>Collapse Load &amp; Safety Factor</t>
        </is>
      </c>
      <c r="B45" s="26" t="n"/>
      <c r="C45" s="26" t="n"/>
      <c r="D45" s="26" t="n"/>
      <c r="E45" s="26" t="n"/>
      <c r="F45" s="49" t="inlineStr">
        <is>
          <t>P_collapse = 0.052 x MW_ext x TVD - 0.052 x MW_int x (TVD - L_drop);   SF = rating / load</t>
        </is>
      </c>
    </row>
    <row r="46">
      <c r="A46" t="inlineStr"/>
      <c r="F46" s="27" t="inlineStr">
        <is>
          <t>External: mud the casing was cemented in. Internal: partial or full evacuation (lost circulation, gas lift die-out). Set L_drop = TVD and MW_int = 0 for full evacuation. Collapse rating from the API catalog (mode depends on D/t).</t>
        </is>
      </c>
    </row>
    <row r="47">
      <c r="A47" s="28" t="inlineStr">
        <is>
          <t>External fluid density</t>
        </is>
      </c>
      <c r="B47" s="35" t="n">
        <v>12.5</v>
      </c>
      <c r="C47" s="30" t="inlineStr">
        <is>
          <t>ppg</t>
        </is>
      </c>
      <c r="D47" s="36">
        <f>IFERROR($B$47*119.8264,NA())</f>
        <v/>
      </c>
      <c r="E47" s="30" t="inlineStr">
        <is>
          <t>kg/m3</t>
        </is>
      </c>
    </row>
    <row r="48">
      <c r="A48" s="28" t="inlineStr">
        <is>
          <t>Casing shoe TVD</t>
        </is>
      </c>
      <c r="B48" s="31" t="n">
        <v>6000</v>
      </c>
      <c r="C48" s="30" t="inlineStr">
        <is>
          <t>ft</t>
        </is>
      </c>
      <c r="D48" s="32">
        <f>IFERROR($B$48*0.3048,NA())</f>
        <v/>
      </c>
      <c r="E48" s="30" t="inlineStr">
        <is>
          <t>m</t>
        </is>
      </c>
    </row>
    <row r="49">
      <c r="A49" s="28" t="inlineStr">
        <is>
          <t>Internal fluid density</t>
        </is>
      </c>
      <c r="B49" s="35" t="n">
        <v>8.6</v>
      </c>
      <c r="C49" s="30" t="inlineStr">
        <is>
          <t>ppg</t>
        </is>
      </c>
      <c r="D49" s="36">
        <f>IFERROR($B$49*119.8264,NA())</f>
        <v/>
      </c>
      <c r="E49" s="30" t="inlineStr">
        <is>
          <t>kg/m3</t>
        </is>
      </c>
    </row>
    <row r="50">
      <c r="A50" s="28" t="inlineStr">
        <is>
          <t>Internal fluid level drop</t>
        </is>
      </c>
      <c r="B50" s="31" t="n">
        <v>2000</v>
      </c>
      <c r="C50" s="30" t="inlineStr">
        <is>
          <t>ft</t>
        </is>
      </c>
      <c r="D50" s="32">
        <f>IFERROR($B$50*0.3048,NA())</f>
        <v/>
      </c>
      <c r="E50" s="30" t="inlineStr">
        <is>
          <t>m</t>
        </is>
      </c>
      <c r="F50" s="27" t="inlineStr">
        <is>
          <t>Depth from surface to internal fluid level.</t>
        </is>
      </c>
    </row>
    <row r="51">
      <c r="A51" s="28" t="inlineStr">
        <is>
          <t>Catalog collapse rating</t>
        </is>
      </c>
      <c r="B51" s="31" t="n">
        <v>4750</v>
      </c>
      <c r="C51" s="30" t="inlineStr">
        <is>
          <t>psi</t>
        </is>
      </c>
      <c r="D51" s="32">
        <f>IFERROR($B$51*6.894757,NA())</f>
        <v/>
      </c>
      <c r="E51" s="30" t="inlineStr">
        <is>
          <t>kPa</t>
        </is>
      </c>
      <c r="F51" s="27" t="inlineStr">
        <is>
          <t>9-5/8 47# N-80 = 4,750 psi.</t>
        </is>
      </c>
    </row>
    <row r="52">
      <c r="A52" s="28" t="inlineStr">
        <is>
          <t>Net collapse load at shoe</t>
        </is>
      </c>
      <c r="B52" s="59">
        <f>0.052*$B$47*$B$48-0.052*$B$49*($B$48-$B$50)</f>
        <v/>
      </c>
      <c r="C52" s="30" t="inlineStr">
        <is>
          <t>psi</t>
        </is>
      </c>
      <c r="D52" s="32">
        <f>IFERROR($B$52*6.894757,NA())</f>
        <v/>
      </c>
      <c r="E52" s="30" t="inlineStr">
        <is>
          <t>kPa</t>
        </is>
      </c>
    </row>
    <row r="53">
      <c r="A53" s="28" t="inlineStr">
        <is>
          <t>Collapse safety factor</t>
        </is>
      </c>
      <c r="B53" s="51">
        <f>$B$51/$B$52</f>
        <v/>
      </c>
      <c r="C53" s="30" t="inlineStr"/>
      <c r="F53" s="27" t="inlineStr">
        <is>
          <t>SF &gt;= 1.0-1.125 typical collapse acceptance.</t>
        </is>
      </c>
    </row>
    <row r="55">
      <c r="A55" s="25" t="inlineStr">
        <is>
          <t>Biaxial Correction: Collapse Under Tension</t>
        </is>
      </c>
      <c r="B55" s="26" t="n"/>
      <c r="C55" s="26" t="n"/>
      <c r="D55" s="26" t="n"/>
      <c r="E55" s="26" t="n"/>
      <c r="F55" s="49" t="inlineStr">
        <is>
          <t>f = SQRT(1 - 0.75 x (Sa/Yp)^2) - 0.5 x Sa/Yp;   Reduced rating = rating x f</t>
        </is>
      </c>
    </row>
    <row r="56">
      <c r="A56" t="inlineStr"/>
      <c r="F56" s="27" t="inlineStr">
        <is>
          <t>Ellipse of plasticity: axial tension derates collapse resistance (and boosts burst). Sa = axial stress = tension / pipe body area.</t>
        </is>
      </c>
    </row>
    <row r="57">
      <c r="A57" s="28" t="inlineStr">
        <is>
          <t>Axial tension at point of interest</t>
        </is>
      </c>
      <c r="B57" s="31" t="n">
        <v>300000</v>
      </c>
      <c r="C57" s="30" t="inlineStr">
        <is>
          <t>lbf</t>
        </is>
      </c>
      <c r="D57" s="32">
        <f>IFERROR($B$57*0.004448222,NA())</f>
        <v/>
      </c>
      <c r="E57" s="30" t="inlineStr">
        <is>
          <t>kN</t>
        </is>
      </c>
    </row>
    <row r="58">
      <c r="A58" s="28" t="inlineStr">
        <is>
          <t>Pipe body cross-section area (A)</t>
        </is>
      </c>
      <c r="B58" s="33" t="n">
        <v>13.572</v>
      </c>
      <c r="C58" s="30" t="inlineStr">
        <is>
          <t>in2</t>
        </is>
      </c>
      <c r="D58" s="34">
        <f>IFERROR($B$58*6.4516,NA())</f>
        <v/>
      </c>
      <c r="E58" s="30" t="inlineStr">
        <is>
          <t>cm2</t>
        </is>
      </c>
    </row>
    <row r="59">
      <c r="A59" s="28" t="inlineStr">
        <is>
          <t>Minimum yield strength (Yp)</t>
        </is>
      </c>
      <c r="B59" s="31" t="n">
        <v>80000</v>
      </c>
      <c r="C59" s="30" t="inlineStr">
        <is>
          <t>psi</t>
        </is>
      </c>
      <c r="D59" s="32">
        <f>IFERROR($B$59*6.894757,NA())</f>
        <v/>
      </c>
      <c r="E59" s="30" t="inlineStr">
        <is>
          <t>kPa</t>
        </is>
      </c>
    </row>
    <row r="60">
      <c r="A60" s="28" t="inlineStr">
        <is>
          <t>Catalog collapse rating</t>
        </is>
      </c>
      <c r="B60" s="31" t="n">
        <v>4750</v>
      </c>
      <c r="C60" s="30" t="inlineStr">
        <is>
          <t>psi</t>
        </is>
      </c>
      <c r="D60" s="32">
        <f>IFERROR($B$60*6.894757,NA())</f>
        <v/>
      </c>
      <c r="E60" s="30" t="inlineStr">
        <is>
          <t>kPa</t>
        </is>
      </c>
    </row>
    <row r="61">
      <c r="A61" s="28" t="inlineStr">
        <is>
          <t>Net collapse load</t>
        </is>
      </c>
      <c r="B61" s="31" t="n">
        <v>2111</v>
      </c>
      <c r="C61" s="30" t="inlineStr">
        <is>
          <t>psi</t>
        </is>
      </c>
      <c r="D61" s="32">
        <f>IFERROR($B$61*6.894757,NA())</f>
        <v/>
      </c>
      <c r="E61" s="30" t="inlineStr">
        <is>
          <t>kPa</t>
        </is>
      </c>
    </row>
    <row r="62">
      <c r="A62" s="28" t="inlineStr">
        <is>
          <t>Axial stress (Sa)</t>
        </is>
      </c>
      <c r="B62" s="59">
        <f>$B$57/$B$58</f>
        <v/>
      </c>
      <c r="C62" s="30" t="inlineStr">
        <is>
          <t>psi</t>
        </is>
      </c>
      <c r="D62" s="32">
        <f>IFERROR($B$62*6.894757,NA())</f>
        <v/>
      </c>
      <c r="E62" s="30" t="inlineStr">
        <is>
          <t>kPa</t>
        </is>
      </c>
    </row>
    <row r="63">
      <c r="A63" s="28" t="inlineStr">
        <is>
          <t>Collapse reduction factor (f)</t>
        </is>
      </c>
      <c r="B63" s="50">
        <f>SQRT(1-0.75*($B$62/$B$59)^2)-0.5*$B$62/$B$59</f>
        <v/>
      </c>
      <c r="C63" s="30" t="inlineStr"/>
    </row>
    <row r="64">
      <c r="A64" s="28" t="inlineStr">
        <is>
          <t>Tension-reduced collapse rating</t>
        </is>
      </c>
      <c r="B64" s="59">
        <f>$B$60*$B$63</f>
        <v/>
      </c>
      <c r="C64" s="30" t="inlineStr">
        <is>
          <t>psi</t>
        </is>
      </c>
      <c r="D64" s="32">
        <f>IFERROR($B$64*6.894757,NA())</f>
        <v/>
      </c>
      <c r="E64" s="30" t="inlineStr">
        <is>
          <t>kPa</t>
        </is>
      </c>
    </row>
    <row r="65">
      <c r="A65" s="28" t="inlineStr">
        <is>
          <t>Collapse SF under tension</t>
        </is>
      </c>
      <c r="B65" s="51">
        <f>$B$64/$B$61</f>
        <v/>
      </c>
      <c r="C65" s="30" t="inlineStr"/>
    </row>
    <row r="67" ht="20" customHeight="1">
      <c r="A67" s="23" t="inlineStr">
        <is>
          <t>Tension</t>
        </is>
      </c>
      <c r="B67" s="24" t="n"/>
      <c r="C67" s="24" t="n"/>
      <c r="D67" s="24" t="n"/>
      <c r="E67" s="24" t="n"/>
      <c r="F67" s="24" t="n"/>
    </row>
    <row r="69">
      <c r="A69" s="25" t="inlineStr">
        <is>
          <t>Axial Tension &amp; Safety Factor</t>
        </is>
      </c>
      <c r="B69" s="26" t="n"/>
      <c r="C69" s="26" t="n"/>
      <c r="D69" s="26" t="n"/>
      <c r="E69" s="26" t="n"/>
      <c r="F69" s="49" t="inlineStr">
        <is>
          <t>T = w x L x BF (buoyed weight);   SF = Fy / T</t>
        </is>
      </c>
    </row>
    <row r="70">
      <c r="A70" t="inlineStr"/>
      <c r="F70" s="27" t="inlineStr">
        <is>
          <t>Static buoyed hanging weight at the top joint; add overpull, bending and shock loads for the full design case. SF &gt;= 1.6-1.8 typical tension acceptance (or 100,000 lbf MOP).</t>
        </is>
      </c>
    </row>
    <row r="71">
      <c r="A71" s="28" t="inlineStr">
        <is>
          <t>Casing weight in air</t>
        </is>
      </c>
      <c r="B71" s="35" t="n">
        <v>47</v>
      </c>
      <c r="C71" s="30" t="inlineStr">
        <is>
          <t>lb/ft</t>
        </is>
      </c>
      <c r="D71" s="36">
        <f>IFERROR($B$71*1.488164,NA())</f>
        <v/>
      </c>
      <c r="E71" s="30" t="inlineStr">
        <is>
          <t>kg/m</t>
        </is>
      </c>
    </row>
    <row r="72">
      <c r="A72" s="28" t="inlineStr">
        <is>
          <t>Casing length</t>
        </is>
      </c>
      <c r="B72" s="31" t="n">
        <v>6000</v>
      </c>
      <c r="C72" s="30" t="inlineStr">
        <is>
          <t>ft</t>
        </is>
      </c>
      <c r="D72" s="32">
        <f>IFERROR($B$72*0.3048,NA())</f>
        <v/>
      </c>
      <c r="E72" s="30" t="inlineStr">
        <is>
          <t>m</t>
        </is>
      </c>
    </row>
    <row r="73">
      <c r="A73" s="28" t="inlineStr">
        <is>
          <t>Mud weight (MW)</t>
        </is>
      </c>
      <c r="B73" s="35" t="n">
        <v>12.5</v>
      </c>
      <c r="C73" s="30" t="inlineStr">
        <is>
          <t>ppg</t>
        </is>
      </c>
      <c r="D73" s="36">
        <f>IFERROR($B$73*119.8264,NA())</f>
        <v/>
      </c>
      <c r="E73" s="30" t="inlineStr">
        <is>
          <t>kg/m3</t>
        </is>
      </c>
    </row>
    <row r="74">
      <c r="A74" s="28" t="inlineStr">
        <is>
          <t>Design overpull</t>
        </is>
      </c>
      <c r="B74" s="31" t="n">
        <v>100000</v>
      </c>
      <c r="C74" s="30" t="inlineStr">
        <is>
          <t>lbf</t>
        </is>
      </c>
      <c r="D74" s="32">
        <f>IFERROR($B$74*0.004448222,NA())</f>
        <v/>
      </c>
      <c r="E74" s="30" t="inlineStr">
        <is>
          <t>kN</t>
        </is>
      </c>
    </row>
    <row r="75">
      <c r="A75" s="28" t="inlineStr">
        <is>
          <t>Buoyed hanging weight</t>
        </is>
      </c>
      <c r="B75" s="59">
        <f>$B$71*$B$72*(65.5-$B$73)/65.5</f>
        <v/>
      </c>
      <c r="C75" s="30" t="inlineStr">
        <is>
          <t>lbf</t>
        </is>
      </c>
      <c r="D75" s="32">
        <f>IFERROR($B$75*0.004448222,NA())</f>
        <v/>
      </c>
      <c r="E75" s="30" t="inlineStr">
        <is>
          <t>kN</t>
        </is>
      </c>
    </row>
    <row r="76">
      <c r="A76" s="28" t="inlineStr">
        <is>
          <t>Total design tension (with overpull)</t>
        </is>
      </c>
      <c r="B76" s="59">
        <f>$B$75+$B$74</f>
        <v/>
      </c>
      <c r="C76" s="30" t="inlineStr">
        <is>
          <t>lbf</t>
        </is>
      </c>
      <c r="D76" s="32">
        <f>IFERROR($B$76*0.004448222,NA())</f>
        <v/>
      </c>
      <c r="E76" s="30" t="inlineStr">
        <is>
          <t>kN</t>
        </is>
      </c>
    </row>
    <row r="77">
      <c r="A77" s="28" t="inlineStr">
        <is>
          <t>Tension SF (vs pipe body yield)</t>
        </is>
      </c>
      <c r="B77" s="51">
        <f>$B$15/$B$76</f>
        <v/>
      </c>
      <c r="C77" s="30" t="inlineStr"/>
      <c r="F77" s="27" t="inlineStr">
        <is>
          <t>Uses pipe body yield Fy from the first calculator; check connection rating separately.</t>
        </is>
      </c>
    </row>
    <row r="79">
      <c r="A79" s="25" t="inlineStr">
        <is>
          <t>Casing Stretch When Landed</t>
        </is>
      </c>
      <c r="B79" s="26" t="n"/>
      <c r="C79" s="26" t="n"/>
      <c r="D79" s="26" t="n"/>
      <c r="E79" s="26" t="n"/>
      <c r="F79" s="49" t="inlineStr">
        <is>
          <t>e [in] = P x L x 12 / (A x E),   E = 29.6e6 psi</t>
        </is>
      </c>
    </row>
    <row r="80">
      <c r="A80" t="inlineStr"/>
      <c r="F80" s="27" t="inlineStr">
        <is>
          <t>Elastic stretch from the landing (pickup) tension applied at surface before hanging off - e.g. landing 'as cemented' plus a chosen pickup load.</t>
        </is>
      </c>
    </row>
    <row r="81">
      <c r="A81" s="28" t="inlineStr">
        <is>
          <t>Landing pickup tension (P)</t>
        </is>
      </c>
      <c r="B81" s="31" t="n">
        <v>50000</v>
      </c>
      <c r="C81" s="30" t="inlineStr">
        <is>
          <t>lbf</t>
        </is>
      </c>
      <c r="D81" s="32">
        <f>IFERROR($B$81*0.004448222,NA())</f>
        <v/>
      </c>
      <c r="E81" s="30" t="inlineStr">
        <is>
          <t>kN</t>
        </is>
      </c>
    </row>
    <row r="82">
      <c r="A82" s="28" t="inlineStr">
        <is>
          <t>Free casing length (L)</t>
        </is>
      </c>
      <c r="B82" s="31" t="n">
        <v>6000</v>
      </c>
      <c r="C82" s="30" t="inlineStr">
        <is>
          <t>ft</t>
        </is>
      </c>
      <c r="D82" s="32">
        <f>IFERROR($B$82*0.3048,NA())</f>
        <v/>
      </c>
      <c r="E82" s="30" t="inlineStr">
        <is>
          <t>m</t>
        </is>
      </c>
    </row>
    <row r="83">
      <c r="A83" s="28" t="inlineStr">
        <is>
          <t>Pipe body cross-section area (A)</t>
        </is>
      </c>
      <c r="B83" s="33" t="n">
        <v>13.572</v>
      </c>
      <c r="C83" s="30" t="inlineStr">
        <is>
          <t>in2</t>
        </is>
      </c>
      <c r="D83" s="34">
        <f>IFERROR($B$83*6.4516,NA())</f>
        <v/>
      </c>
      <c r="E83" s="30" t="inlineStr">
        <is>
          <t>cm2</t>
        </is>
      </c>
    </row>
    <row r="84">
      <c r="A84" s="28" t="inlineStr">
        <is>
          <t>Casing stretch</t>
        </is>
      </c>
      <c r="B84" s="54">
        <f>$B$81*$B$82*12/($B$83*29600000)</f>
        <v/>
      </c>
      <c r="C84" s="30" t="inlineStr">
        <is>
          <t>in</t>
        </is>
      </c>
      <c r="D84" s="40">
        <f>IFERROR($B$84*25.4,NA())</f>
        <v/>
      </c>
      <c r="E84" s="30" t="inlineStr">
        <is>
          <t>mm</t>
        </is>
      </c>
    </row>
  </sheetData>
  <sheetProtection selectLockedCells="0" selectUnlockedCells="0" sheet="1" objects="0" insertRows="1" insertHyperlinks="1" autoFilter="1" scenarios="0" formatColumns="0" deleteColumns="1" insertColumns="1" pivotTables="1" deleteRows="1" formatCells="1" formatRows="0" sort="1"/>
  <mergeCells count="6">
    <mergeCell ref="A2:F2"/>
    <mergeCell ref="A1:F1"/>
    <mergeCell ref="A67:F67"/>
    <mergeCell ref="A6:F6"/>
    <mergeCell ref="A17:F17"/>
    <mergeCell ref="A43:F43"/>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23.xml><?xml version="1.0" encoding="utf-8"?>
<worksheet xmlns="http://schemas.openxmlformats.org/spreadsheetml/2006/main">
  <sheetPr>
    <tabColor rgb="002E75B6"/>
    <outlinePr summaryBelow="1" summaryRight="1"/>
    <pageSetUpPr fitToPage="1"/>
  </sheetPr>
  <dimension ref="A1:F52"/>
  <sheetViews>
    <sheetView showGridLines="0" workbookViewId="0">
      <pane ySplit="4" topLeftCell="A5" activePane="bottomLeft" state="frozen"/>
      <selection pane="bottomLeft" activeCell="A1" sqref="A1"/>
    </sheetView>
  </sheetViews>
  <sheetFormatPr baseColWidth="8" defaultRowHeight="15"/>
  <cols>
    <col width="7" customWidth="1" min="1" max="1"/>
    <col width="30" customWidth="1" min="2" max="2"/>
    <col width="30" customWidth="1" min="3" max="3"/>
    <col width="30" customWidth="1" min="4" max="4"/>
    <col width="9" customWidth="1" min="5" max="5"/>
    <col width="9" customWidth="1" min="6" max="6"/>
  </cols>
  <sheetData>
    <row r="1" ht="26" customHeight="1">
      <c r="A1" s="19" t="inlineStr">
        <is>
          <t>Drilling Procedure - Template Builder</t>
        </is>
      </c>
      <c r="B1" s="2" t="n"/>
      <c r="C1" s="2" t="n"/>
      <c r="D1" s="2" t="n"/>
      <c r="E1" s="2" t="n"/>
      <c r="F1" s="2" t="n"/>
    </row>
    <row r="2">
      <c r="A2" s="20" t="inlineStr">
        <is>
          <t>Step text pulls live values from Well Data (WD_* names) - edit every step against the approved program before use</t>
        </is>
      </c>
      <c r="B2" s="2" t="n"/>
      <c r="C2" s="2" t="n"/>
      <c r="D2" s="2" t="n"/>
      <c r="E2" s="2" t="n"/>
      <c r="F2" s="2" t="n"/>
    </row>
    <row r="4">
      <c r="A4" s="104" t="inlineStr">
        <is>
          <t>Step</t>
        </is>
      </c>
      <c r="B4" s="66" t="inlineStr">
        <is>
          <t>Description (yellow = editable text)</t>
        </is>
      </c>
      <c r="C4" s="105" t="n"/>
      <c r="D4" s="106" t="n"/>
      <c r="E4" s="104" t="inlineStr">
        <is>
          <t>Est. hrs</t>
        </is>
      </c>
      <c r="F4" s="104" t="inlineStr">
        <is>
          <t>Initials</t>
        </is>
      </c>
    </row>
    <row r="5">
      <c r="A5" s="28" t="inlineStr">
        <is>
          <t>Well</t>
        </is>
      </c>
      <c r="B5" s="107">
        <f>WD_Well</f>
        <v/>
      </c>
      <c r="C5" s="108" t="n"/>
      <c r="D5" s="28" t="inlineStr">
        <is>
          <t>Prepared by</t>
        </is>
      </c>
      <c r="E5" s="109" t="inlineStr"/>
      <c r="F5" s="110" t="n"/>
    </row>
    <row r="6">
      <c r="A6" s="28" t="inlineStr">
        <is>
          <t>Field</t>
        </is>
      </c>
      <c r="B6" s="107">
        <f>WD_Field</f>
        <v/>
      </c>
      <c r="C6" s="108" t="n"/>
      <c r="D6" s="28" t="inlineStr">
        <is>
          <t>Date</t>
        </is>
      </c>
      <c r="E6" s="109" t="inlineStr"/>
      <c r="F6" s="110" t="n"/>
    </row>
    <row r="7">
      <c r="A7" s="28" t="inlineStr">
        <is>
          <t>Rig</t>
        </is>
      </c>
      <c r="B7" s="107">
        <f>WD_Rig</f>
        <v/>
      </c>
      <c r="C7" s="108" t="n"/>
      <c r="D7" s="28" t="inlineStr">
        <is>
          <t>Revision</t>
        </is>
      </c>
      <c r="E7" s="109" t="inlineStr"/>
      <c r="F7" s="110" t="n"/>
    </row>
    <row r="8">
      <c r="A8" s="111" t="inlineStr">
        <is>
          <t>Template procedure - review and edit every step against the program, permits and MOC before use.</t>
        </is>
      </c>
    </row>
    <row r="10" ht="20" customHeight="1">
      <c r="A10" s="23" t="inlineStr">
        <is>
          <t>A. Rig Up &amp; Spud</t>
        </is>
      </c>
      <c r="B10" s="24" t="n"/>
      <c r="C10" s="24" t="n"/>
      <c r="D10" s="24" t="n"/>
      <c r="E10" s="24" t="n"/>
      <c r="F10" s="24" t="n"/>
    </row>
    <row r="11" ht="30" customHeight="1">
      <c r="A11" s="112" t="n">
        <v>1</v>
      </c>
      <c r="B11" s="113" t="inlineStr">
        <is>
          <t>Hold pre-spud meeting; confirm drilling permit, MOC register, rig acceptance and third-party equipment certification are current.</t>
        </is>
      </c>
      <c r="C11" s="110" t="n"/>
      <c r="D11" s="110" t="n"/>
      <c r="E11" s="37" t="n">
        <v>2</v>
      </c>
      <c r="F11" s="114" t="n"/>
    </row>
    <row r="12" ht="30" customHeight="1">
      <c r="A12" s="112" t="n">
        <v>2</v>
      </c>
      <c r="B12" s="113" t="inlineStr">
        <is>
          <t>Nipple up BOP stack and choke manifold; pressure test to 250 psi low / 5,000 psi high; record on test charts and log in the BOP test register.</t>
        </is>
      </c>
      <c r="C12" s="110" t="n"/>
      <c r="D12" s="110" t="n"/>
      <c r="E12" s="37" t="n">
        <v>6</v>
      </c>
      <c r="F12" s="114" t="n"/>
    </row>
    <row r="13" ht="30" customHeight="1">
      <c r="A13" s="112" t="n">
        <v>3</v>
      </c>
      <c r="B13" s="113" t="inlineStr">
        <is>
          <t>Function test accumulator per API Std 53; verify bottle precharge and closing times against acceptance criteria.</t>
        </is>
      </c>
      <c r="C13" s="110" t="n"/>
      <c r="D13" s="110" t="n"/>
      <c r="E13" s="37" t="n">
        <v>2</v>
      </c>
      <c r="F13" s="114" t="n"/>
    </row>
    <row r="14" ht="30" customHeight="1">
      <c r="A14" s="112" t="n">
        <v>4</v>
      </c>
      <c r="B14" s="113" t="inlineStr">
        <is>
          <t>Spud well; drill conductor / surface hole with spud mud at controlled ROP through the unconsolidated section.</t>
        </is>
      </c>
      <c r="C14" s="110" t="n"/>
      <c r="D14" s="110" t="n"/>
      <c r="E14" s="37" t="n">
        <v>12</v>
      </c>
      <c r="F14" s="114" t="n"/>
    </row>
    <row r="15" ht="30" customHeight="1">
      <c r="A15" s="112" t="n">
        <v>5</v>
      </c>
      <c r="B15" s="113" t="inlineStr">
        <is>
          <t>Line up flow paddle, pit volume totalizer, trip tank and gas detection; verify alarms with the driller before drilling ahead.</t>
        </is>
      </c>
      <c r="C15" s="110" t="n"/>
      <c r="D15" s="110" t="n"/>
      <c r="E15" s="37" t="n">
        <v>1</v>
      </c>
      <c r="F15" s="114" t="n"/>
    </row>
    <row r="17" ht="20" customHeight="1">
      <c r="A17" s="23" t="inlineStr">
        <is>
          <t>B. Surface Hole &amp; Casing</t>
        </is>
      </c>
      <c r="B17" s="24" t="n"/>
      <c r="C17" s="24" t="n"/>
      <c r="D17" s="24" t="n"/>
      <c r="E17" s="24" t="n"/>
      <c r="F17" s="24" t="n"/>
    </row>
    <row r="18" ht="30" customHeight="1">
      <c r="A18" s="112" t="n">
        <v>6</v>
      </c>
      <c r="B18" s="113" t="inlineStr">
        <is>
          <t>Drill surface hole to section TD; pump hi-vis sweeps every stand and monitor cuttings returns at the shakers.</t>
        </is>
      </c>
      <c r="C18" s="110" t="n"/>
      <c r="D18" s="110" t="n"/>
      <c r="E18" s="37" t="n">
        <v>18</v>
      </c>
      <c r="F18" s="114" t="n"/>
    </row>
    <row r="19" ht="30" customHeight="1">
      <c r="A19" s="112" t="n">
        <v>7</v>
      </c>
      <c r="B19" s="113" t="inlineStr">
        <is>
          <t>Perform wiper trip and condition mud; confirm the hole is clean before pulling out to run casing.</t>
        </is>
      </c>
      <c r="C19" s="110" t="n"/>
      <c r="D19" s="110" t="n"/>
      <c r="E19" s="37" t="n">
        <v>6</v>
      </c>
      <c r="F19" s="114" t="n"/>
    </row>
    <row r="20" ht="30" customHeight="1">
      <c r="A20" s="112" t="n">
        <v>8</v>
      </c>
      <c r="B20" s="113" t="inlineStr">
        <is>
          <t>Run surface casing with centralizers per program; fill every joint and monitor displacement against the trip sheet.</t>
        </is>
      </c>
      <c r="C20" s="110" t="n"/>
      <c r="D20" s="110" t="n"/>
      <c r="E20" s="37" t="n">
        <v>8</v>
      </c>
      <c r="F20" s="114" t="n"/>
    </row>
    <row r="21" ht="30" customHeight="1">
      <c r="A21" s="112" t="n">
        <v>9</v>
      </c>
      <c r="B21" s="113" t="inlineStr">
        <is>
          <t>Cement surface casing; confirm cement returns to surface; record densities, rates and lift pressure.</t>
        </is>
      </c>
      <c r="C21" s="110" t="n"/>
      <c r="D21" s="110" t="n"/>
      <c r="E21" s="37" t="n">
        <v>6</v>
      </c>
      <c r="F21" s="114" t="n"/>
    </row>
    <row r="22" ht="30" customHeight="1">
      <c r="A22" s="112" t="n">
        <v>10</v>
      </c>
      <c r="B22" s="113" t="inlineStr">
        <is>
          <t>Wait on cement per program; nipple up and test wellhead / BOP connections; pressure test casing per program.</t>
        </is>
      </c>
      <c r="C22" s="110" t="n"/>
      <c r="D22" s="110" t="n"/>
      <c r="E22" s="37" t="n">
        <v>8</v>
      </c>
      <c r="F22" s="114" t="n"/>
    </row>
    <row r="23" ht="30" customHeight="1">
      <c r="A23" s="112" t="n">
        <v>11</v>
      </c>
      <c r="B23" s="113">
        <f>"Drill out shoe track plus ~10 ft of new formation; perform FIT/LOT to "&amp;TEXT(WD_LOT,"0.0")&amp;" ppg EMW; record result and update Well Data (WD_LOT)."</f>
        <v/>
      </c>
      <c r="C23" s="110" t="n"/>
      <c r="D23" s="110" t="n"/>
      <c r="E23" s="37" t="n">
        <v>3</v>
      </c>
      <c r="F23" s="114" t="n"/>
    </row>
    <row r="25" ht="20" customHeight="1">
      <c r="A25" s="23" t="inlineStr">
        <is>
          <t>C. Intermediate / Build Section</t>
        </is>
      </c>
      <c r="B25" s="24" t="n"/>
      <c r="C25" s="24" t="n"/>
      <c r="D25" s="24" t="n"/>
      <c r="E25" s="24" t="n"/>
      <c r="F25" s="24" t="n"/>
    </row>
    <row r="26" ht="30" customHeight="1">
      <c r="A26" s="112" t="n">
        <v>12</v>
      </c>
      <c r="B26" s="113">
        <f>"Displace to drilling mud of "&amp;TEXT(WD_OMW,"0.0")&amp;" ppg per program; verify mud properties (PV/YP) against the mud program before drilling ahead."</f>
        <v/>
      </c>
      <c r="C26" s="110" t="n"/>
      <c r="D26" s="110" t="n"/>
      <c r="E26" s="37" t="n">
        <v>3</v>
      </c>
      <c r="F26" s="114" t="n"/>
    </row>
    <row r="27" ht="30" customHeight="1">
      <c r="A27" s="112" t="n">
        <v>13</v>
      </c>
      <c r="B27" s="113" t="inlineStr">
        <is>
          <t>Kick off at the planned KOP and build angle per the Directional Survey sheet well plan; survey every stand and compare to plan.</t>
        </is>
      </c>
      <c r="C27" s="110" t="n"/>
      <c r="D27" s="110" t="n"/>
      <c r="E27" s="37" t="n">
        <v>24</v>
      </c>
      <c r="F27" s="114" t="n"/>
    </row>
    <row r="28" ht="30" customHeight="1">
      <c r="A28" s="112" t="n">
        <v>14</v>
      </c>
      <c r="B28" s="113">
        <f>"Monitor ECD against the LOT of "&amp;TEXT(WD_LOT,"0.0")&amp;" ppg EMW while drilling the build section; keep ECD below LOT with margin per program."</f>
        <v/>
      </c>
      <c r="C28" s="110" t="n"/>
      <c r="D28" s="110" t="n"/>
      <c r="E28" s="37" t="n"/>
      <c r="F28" s="114" t="n"/>
    </row>
    <row r="29" ht="30" customHeight="1">
      <c r="A29" s="112" t="n">
        <v>15</v>
      </c>
      <c r="B29" s="113" t="inlineStr">
        <is>
          <t>Record torque and drag roadmap each trip and compare against the Torque &amp; Drag sheet; ream tight spots only as required.</t>
        </is>
      </c>
      <c r="C29" s="110" t="n"/>
      <c r="D29" s="110" t="n"/>
      <c r="E29" s="37" t="n"/>
      <c r="F29" s="114" t="n"/>
    </row>
    <row r="30" ht="30" customHeight="1">
      <c r="A30" s="112" t="n">
        <v>16</v>
      </c>
      <c r="B30" s="113">
        <f>"Run and cement intermediate casing; shoe planned at "&amp;TEXT(WD_ShoeMD,"#,##0")&amp;" ft MD / "&amp;TEXT(WD_ShoeTVD,"#,##0")&amp;" ft TVD; test shoe after drill-out."</f>
        <v/>
      </c>
      <c r="C30" s="110" t="n"/>
      <c r="D30" s="110" t="n"/>
      <c r="E30" s="37" t="n">
        <v>24</v>
      </c>
      <c r="F30" s="114" t="n"/>
    </row>
    <row r="32" ht="20" customHeight="1">
      <c r="A32" s="23" t="inlineStr">
        <is>
          <t>D. Production Hole to TD</t>
        </is>
      </c>
      <c r="B32" s="24" t="n"/>
      <c r="C32" s="24" t="n"/>
      <c r="D32" s="24" t="n"/>
      <c r="E32" s="24" t="n"/>
      <c r="F32" s="24" t="n"/>
    </row>
    <row r="33" ht="30" customHeight="1">
      <c r="A33" s="112" t="n">
        <v>17</v>
      </c>
      <c r="B33" s="113">
        <f>"Drill out shoe track; drill "&amp;TEXT(WD_HoleDiam,"0.00")&amp;" in production hole; establish drilling parameters per the Hydraulics and Bit Hydraulics sheets."</f>
        <v/>
      </c>
      <c r="C33" s="110" t="n"/>
      <c r="D33" s="110" t="n"/>
      <c r="E33" s="37" t="n">
        <v>6</v>
      </c>
      <c r="F33" s="114" t="n"/>
    </row>
    <row r="34" ht="30" customHeight="1">
      <c r="A34" s="112" t="n">
        <v>18</v>
      </c>
      <c r="B34" s="113">
        <f>"Drill ahead to TD at "&amp;TEXT(WD_MD,"#,##0")&amp;" ft MD / "&amp;TEXT(WD_TVD,"#,##0")&amp;" ft TVD; survey per program and geosteer to the target."</f>
        <v/>
      </c>
      <c r="C34" s="110" t="n"/>
      <c r="D34" s="110" t="n"/>
      <c r="E34" s="37" t="n">
        <v>48</v>
      </c>
      <c r="F34" s="114" t="n"/>
    </row>
    <row r="35" ht="30" customHeight="1">
      <c r="A35" s="112" t="n">
        <v>19</v>
      </c>
      <c r="B35" s="113" t="inlineStr">
        <is>
          <t>Manage hole cleaning per the Hole Cleaning sheet - maintain minimum flow rate and pipe rotation; pump sweeps in the lateral as required.</t>
        </is>
      </c>
      <c r="C35" s="110" t="n"/>
      <c r="D35" s="110" t="n"/>
      <c r="E35" s="37" t="n"/>
      <c r="F35" s="114" t="n"/>
    </row>
    <row r="36" ht="30" customHeight="1">
      <c r="A36" s="112" t="n">
        <v>20</v>
      </c>
      <c r="B36" s="113" t="inlineStr">
        <is>
          <t>Circulate hole clean at TD - minimum two bottoms-up; confirm shakers clean before the flow check.</t>
        </is>
      </c>
      <c r="C36" s="110" t="n"/>
      <c r="D36" s="110" t="n"/>
      <c r="E36" s="37" t="n">
        <v>4</v>
      </c>
      <c r="F36" s="114" t="n"/>
    </row>
    <row r="37" ht="30" customHeight="1">
      <c r="A37" s="112" t="n">
        <v>21</v>
      </c>
      <c r="B37" s="113" t="inlineStr">
        <is>
          <t>Flow check; pull out per the Trip Schedule sheet speed limits with the trip sheet monitored against calculated displacement.</t>
        </is>
      </c>
      <c r="C37" s="110" t="n"/>
      <c r="D37" s="110" t="n"/>
      <c r="E37" s="37" t="n">
        <v>8</v>
      </c>
      <c r="F37" s="114" t="n"/>
    </row>
    <row r="38" ht="30" customHeight="1">
      <c r="A38" s="112" t="n">
        <v>22</v>
      </c>
      <c r="B38" s="113" t="inlineStr">
        <is>
          <t>Rig up and run evaluation logs per program; interpret against the Log Interpretation program note before casing point call.</t>
        </is>
      </c>
      <c r="C38" s="110" t="n"/>
      <c r="D38" s="110" t="n"/>
      <c r="E38" s="37" t="n">
        <v>12</v>
      </c>
      <c r="F38" s="114" t="n"/>
    </row>
    <row r="40" ht="20" customHeight="1">
      <c r="A40" s="23" t="inlineStr">
        <is>
          <t>E. Contingency - Well Control</t>
        </is>
      </c>
      <c r="B40" s="24" t="n"/>
      <c r="C40" s="24" t="n"/>
      <c r="D40" s="24" t="n"/>
      <c r="E40" s="24" t="n"/>
      <c r="F40" s="24" t="n"/>
    </row>
    <row r="41" ht="30" customHeight="1">
      <c r="A41" s="112" t="n">
        <v>23</v>
      </c>
      <c r="B41" s="113" t="inlineStr">
        <is>
          <t>On any positive flow check or unexplained pit gain: space out, shut the well in per the station bill (hard shut-in); note the time and alert the toolpusher and company representative.</t>
        </is>
      </c>
      <c r="C41" s="110" t="n"/>
      <c r="D41" s="110" t="n"/>
      <c r="E41" s="37" t="n"/>
      <c r="F41" s="114" t="n"/>
    </row>
    <row r="42" ht="30" customHeight="1">
      <c r="A42" s="112" t="n">
        <v>24</v>
      </c>
      <c r="B42" s="113" t="inlineStr">
        <is>
          <t>Record stabilized SIDPP, SICP and pit gain on the Kill Sheet; verify gauge readings on two independent gauges.</t>
        </is>
      </c>
      <c r="C42" s="110" t="n"/>
      <c r="D42" s="110" t="n"/>
      <c r="E42" s="37" t="n"/>
      <c r="F42" s="114" t="n"/>
    </row>
    <row r="43" ht="30" customHeight="1">
      <c r="A43" s="112" t="n">
        <v>25</v>
      </c>
      <c r="B43" s="113">
        <f>"Kill the well per the Kill Sheet: circulate at the kill rate of "&amp;TEXT(WD_KillRate,"#,##0")&amp;" spm using the "&amp;TEXT(WD_SCR,"#,##0")&amp;" psi SCR reference; follow the drillpipe pressure schedule."</f>
        <v/>
      </c>
      <c r="C43" s="110" t="n"/>
      <c r="D43" s="110" t="n"/>
      <c r="E43" s="37" t="n"/>
      <c r="F43" s="114" t="n"/>
    </row>
    <row r="44" ht="30" customHeight="1">
      <c r="A44" s="112" t="n">
        <v>26</v>
      </c>
      <c r="B44" s="113">
        <f>"Do not exceed MAASP - shoe integrity is "&amp;TEXT(WD_LOT,"0.0")&amp;" ppg EMW at the "&amp;TEXT(WD_ShoeTVD,"#,##0")&amp;" ft TVD shoe; monitor casing pressure throughout the kill."</f>
        <v/>
      </c>
      <c r="C44" s="110" t="n"/>
      <c r="D44" s="110" t="n"/>
      <c r="E44" s="37" t="n"/>
      <c r="F44" s="114" t="n"/>
    </row>
    <row r="45" ht="30" customHeight="1">
      <c r="A45" s="112" t="n">
        <v>27</v>
      </c>
      <c r="B45" s="113" t="inlineStr">
        <is>
          <t>Flow check after the kill; confirm the well is dead, weight up per program and resume operations only after MOC review.</t>
        </is>
      </c>
      <c r="C45" s="110" t="n"/>
      <c r="D45" s="110" t="n"/>
      <c r="E45" s="37" t="n"/>
      <c r="F45" s="114" t="n"/>
    </row>
    <row r="47" ht="20" customHeight="1">
      <c r="A47" s="8" t="inlineStr">
        <is>
          <t>Prepared by (engineer):  ____________________________</t>
        </is>
      </c>
      <c r="E47" s="8" t="inlineStr">
        <is>
          <t>Date: ______________</t>
        </is>
      </c>
    </row>
    <row r="48" ht="20" customHeight="1">
      <c r="A48" s="8" t="inlineStr">
        <is>
          <t>Reviewed by (supervisor):  ____________________________</t>
        </is>
      </c>
      <c r="E48" s="8" t="inlineStr">
        <is>
          <t>Date: ______________</t>
        </is>
      </c>
    </row>
    <row r="49" ht="20" customHeight="1">
      <c r="A49" s="8" t="inlineStr">
        <is>
          <t>Approved by (operations superintendent):  ____________________________</t>
        </is>
      </c>
      <c r="E49" s="8" t="inlineStr">
        <is>
          <t>Date: ______________</t>
        </is>
      </c>
    </row>
    <row r="51">
      <c r="A51" s="115" t="inlineStr">
        <is>
          <t>Rev 0 - template issue. Record revisions and MOC references here before execution.</t>
        </is>
      </c>
      <c r="B51" s="110" t="n"/>
      <c r="C51" s="110" t="n"/>
      <c r="D51" s="110" t="n"/>
      <c r="E51" s="110" t="n"/>
      <c r="F51" s="110" t="n"/>
    </row>
    <row r="52">
      <c r="A52" s="27" t="inlineStr">
        <is>
          <t>Template procedure - review and edit every step against the program, permits and MOC before use.</t>
        </is>
      </c>
    </row>
  </sheetData>
  <sheetProtection selectLockedCells="0" selectUnlockedCells="0" sheet="1" objects="0" insertRows="1" insertHyperlinks="1" autoFilter="1" scenarios="0" formatColumns="0" deleteColumns="1" insertColumns="1" pivotTables="1" deleteRows="1" formatCells="1" formatRows="0" sort="1"/>
  <mergeCells count="50">
    <mergeCell ref="B11:D11"/>
    <mergeCell ref="B42:D42"/>
    <mergeCell ref="B14:D14"/>
    <mergeCell ref="B7:C7"/>
    <mergeCell ref="B23:D23"/>
    <mergeCell ref="E5:F5"/>
    <mergeCell ref="B13:D13"/>
    <mergeCell ref="B44:D44"/>
    <mergeCell ref="B29:D29"/>
    <mergeCell ref="E48:F48"/>
    <mergeCell ref="B38:D38"/>
    <mergeCell ref="B34:D34"/>
    <mergeCell ref="A2:F2"/>
    <mergeCell ref="B28:D28"/>
    <mergeCell ref="B19:D19"/>
    <mergeCell ref="B37:D37"/>
    <mergeCell ref="A48:D48"/>
    <mergeCell ref="A32:F32"/>
    <mergeCell ref="A8:F8"/>
    <mergeCell ref="A17:F17"/>
    <mergeCell ref="B30:D30"/>
    <mergeCell ref="A49:D49"/>
    <mergeCell ref="B15:D15"/>
    <mergeCell ref="B20:D20"/>
    <mergeCell ref="B33:D33"/>
    <mergeCell ref="A52:F52"/>
    <mergeCell ref="E6:F6"/>
    <mergeCell ref="A10:F10"/>
    <mergeCell ref="B36:D36"/>
    <mergeCell ref="B45:D45"/>
    <mergeCell ref="B41:D41"/>
    <mergeCell ref="B35:D35"/>
    <mergeCell ref="B4:D4"/>
    <mergeCell ref="E49:F49"/>
    <mergeCell ref="B26:D26"/>
    <mergeCell ref="A40:F40"/>
    <mergeCell ref="B6:C6"/>
    <mergeCell ref="A51:F51"/>
    <mergeCell ref="E7:F7"/>
    <mergeCell ref="B5:C5"/>
    <mergeCell ref="A1:F1"/>
    <mergeCell ref="B22:D22"/>
    <mergeCell ref="B18:D18"/>
    <mergeCell ref="B27:D27"/>
    <mergeCell ref="B21:D21"/>
    <mergeCell ref="B43:D43"/>
    <mergeCell ref="B12:D12"/>
    <mergeCell ref="A47:D47"/>
    <mergeCell ref="E47:F47"/>
    <mergeCell ref="A25:F25"/>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pageSetup orientation="portrait" fitToHeight="0" fitToWidth="1"/>
</worksheet>
</file>

<file path=xl/worksheets/sheet24.xml><?xml version="1.0" encoding="utf-8"?>
<worksheet xmlns="http://schemas.openxmlformats.org/spreadsheetml/2006/main">
  <sheetPr>
    <tabColor rgb="00548235"/>
    <outlinePr summaryBelow="1" summaryRight="1"/>
    <pageSetUpPr/>
  </sheetPr>
  <dimension ref="A1:F79"/>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Completion Fluids &amp; Brines</t>
        </is>
      </c>
      <c r="B1" s="2" t="n"/>
      <c r="C1" s="2" t="n"/>
      <c r="D1" s="2" t="n"/>
      <c r="E1" s="2" t="n"/>
      <c r="F1" s="2" t="n"/>
    </row>
    <row r="2">
      <c r="A2" s="20" t="inlineStr">
        <is>
          <t>Brine density design, hydrostatics at the perfs, blending, temperature correction, salt weight-up</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Brine Density Design</t>
        </is>
      </c>
      <c r="B6" s="24" t="n"/>
      <c r="C6" s="24" t="n"/>
      <c r="D6" s="24" t="n"/>
      <c r="E6" s="24" t="n"/>
      <c r="F6" s="24" t="n"/>
    </row>
    <row r="8">
      <c r="A8" s="25" t="inlineStr">
        <is>
          <t>Required Brine Density for Target Overbalance</t>
        </is>
      </c>
      <c r="B8" s="26" t="n"/>
      <c r="C8" s="26" t="n"/>
      <c r="D8" s="26" t="n"/>
      <c r="E8" s="26" t="n"/>
      <c r="F8" s="49" t="inlineStr">
        <is>
          <t>rho [ppg] = (P_res + OB) / (0.052 x TVD_perf [ft])</t>
        </is>
      </c>
    </row>
    <row r="9">
      <c r="A9" t="inlineStr"/>
      <c r="F9" s="27" t="inlineStr">
        <is>
          <t>Density of a full column of clean brine giving the desired overbalance at the perforations.</t>
        </is>
      </c>
    </row>
    <row r="10">
      <c r="A10" s="28" t="inlineStr">
        <is>
          <t>Reservoir pressure (P_res)</t>
        </is>
      </c>
      <c r="B10" s="31" t="n">
        <v>4500</v>
      </c>
      <c r="C10" s="30" t="inlineStr">
        <is>
          <t>psi</t>
        </is>
      </c>
      <c r="D10" s="32">
        <f>IFERROR($B$10*6.894757,NA())</f>
        <v/>
      </c>
      <c r="E10" s="30" t="inlineStr">
        <is>
          <t>kPa</t>
        </is>
      </c>
    </row>
    <row r="11">
      <c r="A11" s="28" t="inlineStr">
        <is>
          <t>Target overbalance (OB)</t>
        </is>
      </c>
      <c r="B11" s="31" t="n">
        <v>200</v>
      </c>
      <c r="C11" s="30" t="inlineStr">
        <is>
          <t>psi</t>
        </is>
      </c>
      <c r="D11" s="32">
        <f>IFERROR($B$11*6.894757,NA())</f>
        <v/>
      </c>
      <c r="E11" s="30" t="inlineStr">
        <is>
          <t>kPa</t>
        </is>
      </c>
    </row>
    <row r="12">
      <c r="A12" s="28" t="inlineStr">
        <is>
          <t>TVD at perforations</t>
        </is>
      </c>
      <c r="B12" s="31" t="n">
        <v>9000</v>
      </c>
      <c r="C12" s="30" t="inlineStr">
        <is>
          <t>ft</t>
        </is>
      </c>
      <c r="D12" s="32">
        <f>IFERROR($B$12*0.3048,NA())</f>
        <v/>
      </c>
      <c r="E12" s="30" t="inlineStr">
        <is>
          <t>m</t>
        </is>
      </c>
    </row>
    <row r="13">
      <c r="A13" s="28" t="inlineStr">
        <is>
          <t>Required brine density (exact)</t>
        </is>
      </c>
      <c r="B13" s="50">
        <f>($B$10+$B$11)/(0.052*$B$12)</f>
        <v/>
      </c>
      <c r="C13" s="30" t="inlineStr">
        <is>
          <t>ppg</t>
        </is>
      </c>
      <c r="D13" s="34">
        <f>IFERROR($B$13*119.8264,NA())</f>
        <v/>
      </c>
      <c r="E13" s="30" t="inlineStr">
        <is>
          <t>kg/m3</t>
        </is>
      </c>
    </row>
    <row r="14">
      <c r="A14" s="28" t="inlineStr">
        <is>
          <t>Required brine density (rounded up)</t>
        </is>
      </c>
      <c r="B14" s="54">
        <f>ROUNDUP(ROUND($B$13*10,6),0)/10</f>
        <v/>
      </c>
      <c r="C14" s="30" t="inlineStr">
        <is>
          <t>ppg</t>
        </is>
      </c>
      <c r="D14" s="40">
        <f>IFERROR($B$14*119.8264,NA())</f>
        <v/>
      </c>
      <c r="E14" s="30" t="inlineStr">
        <is>
          <t>kg/m3</t>
        </is>
      </c>
      <c r="F14" s="27" t="inlineStr">
        <is>
          <t>Rounding rule: kill weight fluid density rounds UP to the nearest 0.1 ppg.</t>
        </is>
      </c>
    </row>
    <row r="16">
      <c r="A16" s="25" t="inlineStr">
        <is>
          <t>Hydrostatic &amp; Overbalance at the Perforations</t>
        </is>
      </c>
      <c r="B16" s="26" t="n"/>
      <c r="C16" s="26" t="n"/>
      <c r="D16" s="26" t="n"/>
      <c r="E16" s="26" t="n"/>
      <c r="F16" s="49" t="inlineStr">
        <is>
          <t>P_hyd = 0.052 x rho x TVD;   OB = P_hyd - P_res</t>
        </is>
      </c>
    </row>
    <row r="17">
      <c r="A17" t="inlineStr"/>
      <c r="F17" s="27" t="inlineStr">
        <is>
          <t>Positive result = overbalanced, negative = underbalanced.</t>
        </is>
      </c>
    </row>
    <row r="18">
      <c r="A18" s="28" t="inlineStr">
        <is>
          <t>Brine density in hole</t>
        </is>
      </c>
      <c r="B18" s="35" t="n">
        <v>10</v>
      </c>
      <c r="C18" s="30" t="inlineStr">
        <is>
          <t>ppg</t>
        </is>
      </c>
      <c r="D18" s="36">
        <f>IFERROR($B$18*119.8264,NA())</f>
        <v/>
      </c>
      <c r="E18" s="30" t="inlineStr">
        <is>
          <t>kg/m3</t>
        </is>
      </c>
    </row>
    <row r="19">
      <c r="A19" s="28" t="inlineStr">
        <is>
          <t>TVD at perforations</t>
        </is>
      </c>
      <c r="B19" s="31" t="n">
        <v>9000</v>
      </c>
      <c r="C19" s="30" t="inlineStr">
        <is>
          <t>ft</t>
        </is>
      </c>
      <c r="D19" s="32">
        <f>IFERROR($B$19*0.3048,NA())</f>
        <v/>
      </c>
      <c r="E19" s="30" t="inlineStr">
        <is>
          <t>m</t>
        </is>
      </c>
    </row>
    <row r="20">
      <c r="A20" s="28" t="inlineStr">
        <is>
          <t>Reservoir pressure (P_res)</t>
        </is>
      </c>
      <c r="B20" s="31" t="n">
        <v>4500</v>
      </c>
      <c r="C20" s="30" t="inlineStr">
        <is>
          <t>psi</t>
        </is>
      </c>
      <c r="D20" s="32">
        <f>IFERROR($B$20*6.894757,NA())</f>
        <v/>
      </c>
      <c r="E20" s="30" t="inlineStr">
        <is>
          <t>kPa</t>
        </is>
      </c>
    </row>
    <row r="21">
      <c r="A21" s="28" t="inlineStr">
        <is>
          <t>Hydrostatic at perfs (P_hyd)</t>
        </is>
      </c>
      <c r="B21" s="59">
        <f>0.052*$B$18*$B$19</f>
        <v/>
      </c>
      <c r="C21" s="30" t="inlineStr">
        <is>
          <t>psi</t>
        </is>
      </c>
      <c r="D21" s="32">
        <f>IFERROR($B$21*6.894757,NA())</f>
        <v/>
      </c>
      <c r="E21" s="30" t="inlineStr">
        <is>
          <t>kPa</t>
        </is>
      </c>
    </row>
    <row r="22">
      <c r="A22" s="28" t="inlineStr">
        <is>
          <t>Overbalance (OB)</t>
        </is>
      </c>
      <c r="B22" s="59">
        <f>$B$21-$B$20</f>
        <v/>
      </c>
      <c r="C22" s="30" t="inlineStr">
        <is>
          <t>psi</t>
        </is>
      </c>
      <c r="D22" s="32">
        <f>IFERROR($B$22*6.894757,NA())</f>
        <v/>
      </c>
      <c r="E22" s="30" t="inlineStr">
        <is>
          <t>kPa</t>
        </is>
      </c>
      <c r="F22" s="27" t="inlineStr">
        <is>
          <t>Positive = overbalance on the formation.</t>
        </is>
      </c>
    </row>
    <row r="24">
      <c r="A24" s="25" t="inlineStr">
        <is>
          <t>Overbalance / Underbalance Margin Check</t>
        </is>
      </c>
      <c r="B24" s="26" t="n"/>
      <c r="C24" s="26" t="n"/>
      <c r="D24" s="26" t="n"/>
      <c r="E24" s="26" t="n"/>
      <c r="F24" s="49" t="inlineStr">
        <is>
          <t>Status = IF chain on (P_hyd - P_res) vs required margin</t>
        </is>
      </c>
    </row>
    <row r="25">
      <c r="A25" t="inlineStr"/>
      <c r="F25" s="27" t="inlineStr">
        <is>
          <t>Typical completion practice: 150-300 psi overbalance for well control unless an underbalanced operation is planned.</t>
        </is>
      </c>
    </row>
    <row r="26">
      <c r="A26" s="28" t="inlineStr">
        <is>
          <t>Fluid density in hole</t>
        </is>
      </c>
      <c r="B26" s="35" t="n">
        <v>10</v>
      </c>
      <c r="C26" s="30" t="inlineStr">
        <is>
          <t>ppg</t>
        </is>
      </c>
      <c r="D26" s="36">
        <f>IFERROR($B$26*119.8264,NA())</f>
        <v/>
      </c>
      <c r="E26" s="30" t="inlineStr">
        <is>
          <t>kg/m3</t>
        </is>
      </c>
    </row>
    <row r="27">
      <c r="A27" s="28" t="inlineStr">
        <is>
          <t>TVD at perforations</t>
        </is>
      </c>
      <c r="B27" s="31" t="n">
        <v>9000</v>
      </c>
      <c r="C27" s="30" t="inlineStr">
        <is>
          <t>ft</t>
        </is>
      </c>
      <c r="D27" s="32">
        <f>IFERROR($B$27*0.3048,NA())</f>
        <v/>
      </c>
      <c r="E27" s="30" t="inlineStr">
        <is>
          <t>m</t>
        </is>
      </c>
    </row>
    <row r="28">
      <c r="A28" s="28" t="inlineStr">
        <is>
          <t>Reservoir pressure (P_res)</t>
        </is>
      </c>
      <c r="B28" s="31" t="n">
        <v>4500</v>
      </c>
      <c r="C28" s="30" t="inlineStr">
        <is>
          <t>psi</t>
        </is>
      </c>
      <c r="D28" s="32">
        <f>IFERROR($B$28*6.894757,NA())</f>
        <v/>
      </c>
      <c r="E28" s="30" t="inlineStr">
        <is>
          <t>kPa</t>
        </is>
      </c>
    </row>
    <row r="29">
      <c r="A29" s="28" t="inlineStr">
        <is>
          <t>Minimum overbalance margin</t>
        </is>
      </c>
      <c r="B29" s="31" t="n">
        <v>150</v>
      </c>
      <c r="C29" s="30" t="inlineStr">
        <is>
          <t>psi</t>
        </is>
      </c>
      <c r="D29" s="32">
        <f>IFERROR($B$29*6.894757,NA())</f>
        <v/>
      </c>
      <c r="E29" s="30" t="inlineStr">
        <is>
          <t>kPa</t>
        </is>
      </c>
    </row>
    <row r="30">
      <c r="A30" s="28" t="inlineStr">
        <is>
          <t>Actual overbalance</t>
        </is>
      </c>
      <c r="B30" s="59">
        <f>0.052*$B$26*$B$27-$B$28</f>
        <v/>
      </c>
      <c r="C30" s="30" t="inlineStr">
        <is>
          <t>psi</t>
        </is>
      </c>
      <c r="D30" s="32">
        <f>IFERROR($B$30*6.894757,NA())</f>
        <v/>
      </c>
      <c r="E30" s="30" t="inlineStr">
        <is>
          <t>kPa</t>
        </is>
      </c>
    </row>
    <row r="31">
      <c r="A31" s="28" t="inlineStr">
        <is>
          <t>Status</t>
        </is>
      </c>
      <c r="B31" s="72">
        <f>IF($B$30&gt;=$B$29,"OVERBALANCED - MARGIN OK",IF($B$30&gt;=0,"OVERBALANCED - BELOW MARGIN","UNDERBALANCED"))</f>
        <v/>
      </c>
      <c r="C31" s="30" t="inlineStr"/>
      <c r="F31" s="27" t="inlineStr">
        <is>
          <t>Text result.</t>
        </is>
      </c>
    </row>
    <row r="33">
      <c r="A33" s="25" t="inlineStr">
        <is>
          <t>Kill Weight Fluid for Completion</t>
        </is>
      </c>
      <c r="B33" s="26" t="n"/>
      <c r="C33" s="26" t="n"/>
      <c r="D33" s="26" t="n"/>
      <c r="E33" s="26" t="n"/>
      <c r="F33" s="49" t="inlineStr">
        <is>
          <t>KWF [ppg] = (P_res + safety) / (0.052 x TVD)</t>
        </is>
      </c>
    </row>
    <row r="34">
      <c r="A34" t="inlineStr"/>
      <c r="F34" s="27" t="inlineStr">
        <is>
          <t>Same form as drilling kill mud weight: fluid density that balances reservoir pressure plus a safety margin with a full column.</t>
        </is>
      </c>
    </row>
    <row r="35">
      <c r="A35" s="28" t="inlineStr">
        <is>
          <t>Reservoir pressure (P_res)</t>
        </is>
      </c>
      <c r="B35" s="31" t="n">
        <v>4500</v>
      </c>
      <c r="C35" s="30" t="inlineStr">
        <is>
          <t>psi</t>
        </is>
      </c>
      <c r="D35" s="32">
        <f>IFERROR($B$35*6.894757,NA())</f>
        <v/>
      </c>
      <c r="E35" s="30" t="inlineStr">
        <is>
          <t>kPa</t>
        </is>
      </c>
    </row>
    <row r="36">
      <c r="A36" s="28" t="inlineStr">
        <is>
          <t>Safety margin</t>
        </is>
      </c>
      <c r="B36" s="31" t="n">
        <v>100</v>
      </c>
      <c r="C36" s="30" t="inlineStr">
        <is>
          <t>psi</t>
        </is>
      </c>
      <c r="D36" s="32">
        <f>IFERROR($B$36*6.894757,NA())</f>
        <v/>
      </c>
      <c r="E36" s="30" t="inlineStr">
        <is>
          <t>kPa</t>
        </is>
      </c>
    </row>
    <row r="37">
      <c r="A37" s="28" t="inlineStr">
        <is>
          <t>TVD at perforations</t>
        </is>
      </c>
      <c r="B37" s="31" t="n">
        <v>9000</v>
      </c>
      <c r="C37" s="30" t="inlineStr">
        <is>
          <t>ft</t>
        </is>
      </c>
      <c r="D37" s="32">
        <f>IFERROR($B$37*0.3048,NA())</f>
        <v/>
      </c>
      <c r="E37" s="30" t="inlineStr">
        <is>
          <t>m</t>
        </is>
      </c>
    </row>
    <row r="38">
      <c r="A38" s="28" t="inlineStr">
        <is>
          <t>Kill weight fluid density (exact)</t>
        </is>
      </c>
      <c r="B38" s="50">
        <f>($B$35+$B$36)/(0.052*$B$37)</f>
        <v/>
      </c>
      <c r="C38" s="30" t="inlineStr">
        <is>
          <t>ppg</t>
        </is>
      </c>
      <c r="D38" s="34">
        <f>IFERROR($B$38*119.8264,NA())</f>
        <v/>
      </c>
      <c r="E38" s="30" t="inlineStr">
        <is>
          <t>kg/m3</t>
        </is>
      </c>
    </row>
    <row r="39">
      <c r="A39" s="28" t="inlineStr">
        <is>
          <t>Kill weight fluid density (rounded up)</t>
        </is>
      </c>
      <c r="B39" s="54">
        <f>ROUNDUP(ROUND($B$38*10,6),0)/10</f>
        <v/>
      </c>
      <c r="C39" s="30" t="inlineStr">
        <is>
          <t>ppg</t>
        </is>
      </c>
      <c r="D39" s="40">
        <f>IFERROR($B$39*119.8264,NA())</f>
        <v/>
      </c>
      <c r="E39" s="30" t="inlineStr">
        <is>
          <t>kg/m3</t>
        </is>
      </c>
      <c r="F39" s="27" t="inlineStr">
        <is>
          <t>Rounding rule: kill weight fluid density rounds UP to the nearest 0.1 ppg.</t>
        </is>
      </c>
    </row>
    <row r="41" ht="20" customHeight="1">
      <c r="A41" s="23" t="inlineStr">
        <is>
          <t>Blending &amp; Temperature Correction</t>
        </is>
      </c>
      <c r="B41" s="24" t="n"/>
      <c r="C41" s="24" t="n"/>
      <c r="D41" s="24" t="n"/>
      <c r="E41" s="24" t="n"/>
      <c r="F41" s="24" t="n"/>
    </row>
    <row r="43">
      <c r="A43" s="25" t="inlineStr">
        <is>
          <t>Blending Two Brines to a Target Density</t>
        </is>
      </c>
      <c r="B43" s="26" t="n"/>
      <c r="C43" s="26" t="n"/>
      <c r="D43" s="26" t="n"/>
      <c r="E43" s="26" t="n"/>
      <c r="F43" s="49" t="inlineStr">
        <is>
          <t>V1 = Vt x (rho_t - rho2) / (rho1 - rho2);   V2 = Vt - V1</t>
        </is>
      </c>
    </row>
    <row r="44">
      <c r="A44" t="inlineStr"/>
      <c r="F44" s="27" t="inlineStr">
        <is>
          <t>Volume-weighted blend, mixing volumes assumed additive (small error for very heavy brines). rho1 must be the heavier brine; target must lie between the two stock densities.</t>
        </is>
      </c>
    </row>
    <row r="45">
      <c r="A45" s="28" t="inlineStr">
        <is>
          <t>Total blended volume required (Vt)</t>
        </is>
      </c>
      <c r="B45" s="31" t="n">
        <v>500</v>
      </c>
      <c r="C45" s="30" t="inlineStr">
        <is>
          <t>bbl</t>
        </is>
      </c>
      <c r="D45" s="32">
        <f>IFERROR($B$45*0.1589873,NA())</f>
        <v/>
      </c>
      <c r="E45" s="30" t="inlineStr">
        <is>
          <t>m3</t>
        </is>
      </c>
    </row>
    <row r="46">
      <c r="A46" s="28" t="inlineStr">
        <is>
          <t>Target density (rho_t)</t>
        </is>
      </c>
      <c r="B46" s="35" t="n">
        <v>10.5</v>
      </c>
      <c r="C46" s="30" t="inlineStr">
        <is>
          <t>ppg</t>
        </is>
      </c>
      <c r="D46" s="36">
        <f>IFERROR($B$46*119.8264,NA())</f>
        <v/>
      </c>
      <c r="E46" s="30" t="inlineStr">
        <is>
          <t>kg/m3</t>
        </is>
      </c>
    </row>
    <row r="47">
      <c r="A47" s="28" t="inlineStr">
        <is>
          <t>Heavy brine density (rho1)</t>
        </is>
      </c>
      <c r="B47" s="35" t="n">
        <v>11.6</v>
      </c>
      <c r="C47" s="30" t="inlineStr">
        <is>
          <t>ppg</t>
        </is>
      </c>
      <c r="D47" s="36">
        <f>IFERROR($B$47*119.8264,NA())</f>
        <v/>
      </c>
      <c r="E47" s="30" t="inlineStr">
        <is>
          <t>kg/m3</t>
        </is>
      </c>
    </row>
    <row r="48">
      <c r="A48" s="28" t="inlineStr">
        <is>
          <t>Light brine density (rho2)</t>
        </is>
      </c>
      <c r="B48" s="35" t="n">
        <v>8.4</v>
      </c>
      <c r="C48" s="30" t="inlineStr">
        <is>
          <t>ppg</t>
        </is>
      </c>
      <c r="D48" s="36">
        <f>IFERROR($B$48*119.8264,NA())</f>
        <v/>
      </c>
      <c r="E48" s="30" t="inlineStr">
        <is>
          <t>kg/m3</t>
        </is>
      </c>
    </row>
    <row r="49">
      <c r="A49" s="28" t="inlineStr">
        <is>
          <t>Heavy brine volume (V1)</t>
        </is>
      </c>
      <c r="B49" s="60">
        <f>$B$45*($B$46-$B$48)/($B$47-$B$48)</f>
        <v/>
      </c>
      <c r="C49" s="30" t="inlineStr">
        <is>
          <t>bbl</t>
        </is>
      </c>
      <c r="D49" s="61">
        <f>IFERROR($B$49*0.1589873,NA())</f>
        <v/>
      </c>
      <c r="E49" s="30" t="inlineStr">
        <is>
          <t>m3</t>
        </is>
      </c>
    </row>
    <row r="50">
      <c r="A50" s="28" t="inlineStr">
        <is>
          <t>Light brine volume (V2)</t>
        </is>
      </c>
      <c r="B50" s="60">
        <f>$B$45-$B$49</f>
        <v/>
      </c>
      <c r="C50" s="30" t="inlineStr">
        <is>
          <t>bbl</t>
        </is>
      </c>
      <c r="D50" s="61">
        <f>IFERROR($B$50*0.1589873,NA())</f>
        <v/>
      </c>
      <c r="E50" s="30" t="inlineStr">
        <is>
          <t>m3</t>
        </is>
      </c>
    </row>
    <row r="52">
      <c r="A52" s="25" t="inlineStr">
        <is>
          <t>Brine Density Correction for Temperature</t>
        </is>
      </c>
      <c r="B52" s="26" t="n"/>
      <c r="C52" s="26" t="n"/>
      <c r="D52" s="26" t="n"/>
      <c r="E52" s="26" t="n"/>
      <c r="F52" s="49" t="inlineStr">
        <is>
          <t>rho@T = rho@70F - EF x (T - 70)</t>
        </is>
      </c>
    </row>
    <row r="53">
      <c r="A53" t="inlineStr"/>
      <c r="F53" s="27" t="inlineStr">
        <is>
          <t>Linear expansion approximation. Expansion factor EF is brine-specific; typical 0.00023 - 0.00033 ppg/degF from supplier tables. Density falls as temperature rises.</t>
        </is>
      </c>
    </row>
    <row r="54">
      <c r="A54" s="28" t="inlineStr">
        <is>
          <t>Density at 70 degF (rho@70F)</t>
        </is>
      </c>
      <c r="B54" s="35" t="n">
        <v>10</v>
      </c>
      <c r="C54" s="30" t="inlineStr">
        <is>
          <t>ppg</t>
        </is>
      </c>
      <c r="D54" s="36">
        <f>IFERROR($B$54*119.8264,NA())</f>
        <v/>
      </c>
      <c r="E54" s="30" t="inlineStr">
        <is>
          <t>kg/m3</t>
        </is>
      </c>
    </row>
    <row r="55">
      <c r="A55" s="28" t="inlineStr">
        <is>
          <t>Expansion factor (EF)</t>
        </is>
      </c>
      <c r="B55" s="62" t="n">
        <v>0.00028</v>
      </c>
      <c r="C55" s="30" t="inlineStr"/>
      <c r="F55" s="27" t="inlineStr">
        <is>
          <t>ppg per degF, from brine supplier tables</t>
        </is>
      </c>
    </row>
    <row r="56">
      <c r="A56" s="28" t="inlineStr">
        <is>
          <t>Average fluid temperature (T)</t>
        </is>
      </c>
      <c r="B56" s="31" t="n">
        <v>180</v>
      </c>
      <c r="C56" s="30" t="inlineStr">
        <is>
          <t>degF</t>
        </is>
      </c>
      <c r="D56" s="32">
        <f>IFERROR(($B$56-32)/1.8,NA())</f>
        <v/>
      </c>
      <c r="E56" s="30" t="inlineStr">
        <is>
          <t>degC</t>
        </is>
      </c>
    </row>
    <row r="57">
      <c r="A57" s="28" t="inlineStr">
        <is>
          <t>Density at temperature</t>
        </is>
      </c>
      <c r="B57" s="50">
        <f>$B$54-$B$55*($B$56-70)</f>
        <v/>
      </c>
      <c r="C57" s="30" t="inlineStr">
        <is>
          <t>ppg</t>
        </is>
      </c>
      <c r="D57" s="34">
        <f>IFERROR($B$57*119.8264,NA())</f>
        <v/>
      </c>
      <c r="E57" s="30" t="inlineStr">
        <is>
          <t>kg/m3</t>
        </is>
      </c>
    </row>
    <row r="59" ht="20" customHeight="1">
      <c r="A59" s="23" t="inlineStr">
        <is>
          <t>Salt Weight-Up</t>
        </is>
      </c>
      <c r="B59" s="24" t="n"/>
      <c r="C59" s="24" t="n"/>
      <c r="D59" s="24" t="n"/>
      <c r="E59" s="24" t="n"/>
      <c r="F59" s="24" t="n"/>
    </row>
    <row r="61">
      <c r="A61" s="25" t="inlineStr">
        <is>
          <t>Weight-Up with Dry CaCl2 (Sacks per 100 bbl)</t>
        </is>
      </c>
      <c r="B61" s="26" t="n"/>
      <c r="C61" s="26" t="n"/>
      <c r="D61" s="26" t="n"/>
      <c r="E61" s="26" t="n"/>
      <c r="F61" s="49" t="inlineStr">
        <is>
          <t>lb per bbl = 42 x (rho2 - rho1) / (1 - rho2 x AV)</t>
        </is>
      </c>
    </row>
    <row r="62">
      <c r="A62" t="inlineStr"/>
      <c r="F62" s="27" t="inlineStr">
        <is>
          <t>Documented simplified mass balance: dry salt dissolves and adds its absolute volume. AV = absolute volume of the salt in gal/lb (approx 0.056 gal/lb for CaCl2, from supplier tables). Ignores purity (94-97 pct flake) and crystallization limits - check supplier tables before mixing near saturation (11.6 ppg for CaCl2).</t>
        </is>
      </c>
    </row>
    <row r="63">
      <c r="A63" s="28" t="inlineStr">
        <is>
          <t>Starting brine density (rho1)</t>
        </is>
      </c>
      <c r="B63" s="35" t="n">
        <v>10</v>
      </c>
      <c r="C63" s="30" t="inlineStr">
        <is>
          <t>ppg</t>
        </is>
      </c>
      <c r="D63" s="36">
        <f>IFERROR($B$63*119.8264,NA())</f>
        <v/>
      </c>
      <c r="E63" s="30" t="inlineStr">
        <is>
          <t>kg/m3</t>
        </is>
      </c>
    </row>
    <row r="64">
      <c r="A64" s="28" t="inlineStr">
        <is>
          <t>Target brine density (rho2)</t>
        </is>
      </c>
      <c r="B64" s="35" t="n">
        <v>11</v>
      </c>
      <c r="C64" s="30" t="inlineStr">
        <is>
          <t>ppg</t>
        </is>
      </c>
      <c r="D64" s="36">
        <f>IFERROR($B$64*119.8264,NA())</f>
        <v/>
      </c>
      <c r="E64" s="30" t="inlineStr">
        <is>
          <t>kg/m3</t>
        </is>
      </c>
    </row>
    <row r="65">
      <c r="A65" s="28" t="inlineStr">
        <is>
          <t>Salt absolute volume factor (AV)</t>
        </is>
      </c>
      <c r="B65" s="38" t="n">
        <v>0.056</v>
      </c>
      <c r="C65" s="30" t="inlineStr"/>
      <c r="F65" s="27" t="inlineStr">
        <is>
          <t>gal per lb of dry salt</t>
        </is>
      </c>
    </row>
    <row r="66">
      <c r="A66" s="28" t="inlineStr">
        <is>
          <t>Sack weight</t>
        </is>
      </c>
      <c r="B66" s="31" t="n">
        <v>80</v>
      </c>
      <c r="C66" s="30" t="inlineStr"/>
      <c r="F66" s="27" t="inlineStr">
        <is>
          <t>lb per sack (CaCl2 commonly 80-lb sacks)</t>
        </is>
      </c>
    </row>
    <row r="67">
      <c r="A67" s="28" t="inlineStr">
        <is>
          <t>Dry CaCl2 per bbl of starting brine</t>
        </is>
      </c>
      <c r="B67" s="60">
        <f>42*($B$64-$B$63)/(1-$B$64*$B$65)</f>
        <v/>
      </c>
      <c r="C67" s="30" t="inlineStr"/>
      <c r="F67" s="27" t="inlineStr">
        <is>
          <t>lb/bbl</t>
        </is>
      </c>
    </row>
    <row r="68">
      <c r="A68" s="28" t="inlineStr">
        <is>
          <t>Sacks per 100 bbl</t>
        </is>
      </c>
      <c r="B68" s="60">
        <f>$B$67*100/$B$66</f>
        <v/>
      </c>
      <c r="C68" s="30" t="inlineStr"/>
      <c r="F68" s="27" t="inlineStr">
        <is>
          <t>sacks</t>
        </is>
      </c>
    </row>
    <row r="69">
      <c r="A69" s="28" t="inlineStr">
        <is>
          <t>Final volume per 100 bbl start</t>
        </is>
      </c>
      <c r="B69" s="60">
        <f>100+$B$67*100*$B$65/42</f>
        <v/>
      </c>
      <c r="C69" s="30" t="inlineStr">
        <is>
          <t>bbl</t>
        </is>
      </c>
      <c r="D69" s="61">
        <f>IFERROR($B$69*0.1589873,NA())</f>
        <v/>
      </c>
      <c r="E69" s="30" t="inlineStr">
        <is>
          <t>m3</t>
        </is>
      </c>
      <c r="F69" s="27" t="inlineStr">
        <is>
          <t>Volume increase from dissolved salt absolute volume.</t>
        </is>
      </c>
    </row>
    <row r="71" ht="20" customHeight="1">
      <c r="A71" s="23" t="inlineStr">
        <is>
          <t>Packer Fluids</t>
        </is>
      </c>
      <c r="B71" s="24" t="n"/>
      <c r="C71" s="24" t="n"/>
      <c r="D71" s="24" t="n"/>
      <c r="E71" s="24" t="n"/>
      <c r="F71" s="24" t="n"/>
    </row>
    <row r="73">
      <c r="A73" s="25" t="inlineStr">
        <is>
          <t>Packer Fluid Hydrostatic &amp; Annulus Surface Pressure</t>
        </is>
      </c>
      <c r="B73" s="26" t="n"/>
      <c r="C73" s="26" t="n"/>
      <c r="D73" s="26" t="n"/>
      <c r="E73" s="26" t="n"/>
      <c r="F73" s="49" t="inlineStr">
        <is>
          <t>P_hyd = 0.052 x rho_pf x TVD_pkr;   P_ann_surf = P_target - P_hyd</t>
        </is>
      </c>
    </row>
    <row r="74">
      <c r="A74" t="inlineStr"/>
      <c r="F74" s="27" t="inlineStr">
        <is>
          <t>Surface annulus pressure needed so the annulus pressure at the packer equals the target (e.g. to balance tubing pressure across the packer). Negative result means the packer fluid alone over-balances the target.</t>
        </is>
      </c>
    </row>
    <row r="75">
      <c r="A75" s="28" t="inlineStr">
        <is>
          <t>Packer fluid density (rho_pf)</t>
        </is>
      </c>
      <c r="B75" s="35" t="n">
        <v>9.199999999999999</v>
      </c>
      <c r="C75" s="30" t="inlineStr">
        <is>
          <t>ppg</t>
        </is>
      </c>
      <c r="D75" s="36">
        <f>IFERROR($B$75*119.8264,NA())</f>
        <v/>
      </c>
      <c r="E75" s="30" t="inlineStr">
        <is>
          <t>kg/m3</t>
        </is>
      </c>
    </row>
    <row r="76">
      <c r="A76" s="28" t="inlineStr">
        <is>
          <t>TVD at packer</t>
        </is>
      </c>
      <c r="B76" s="31" t="n">
        <v>8800</v>
      </c>
      <c r="C76" s="30" t="inlineStr">
        <is>
          <t>ft</t>
        </is>
      </c>
      <c r="D76" s="32">
        <f>IFERROR($B$76*0.3048,NA())</f>
        <v/>
      </c>
      <c r="E76" s="30" t="inlineStr">
        <is>
          <t>m</t>
        </is>
      </c>
    </row>
    <row r="77">
      <c r="A77" s="28" t="inlineStr">
        <is>
          <t>Target pressure at packer (P_target)</t>
        </is>
      </c>
      <c r="B77" s="31" t="n">
        <v>4400</v>
      </c>
      <c r="C77" s="30" t="inlineStr">
        <is>
          <t>psi</t>
        </is>
      </c>
      <c r="D77" s="32">
        <f>IFERROR($B$77*6.894757,NA())</f>
        <v/>
      </c>
      <c r="E77" s="30" t="inlineStr">
        <is>
          <t>kPa</t>
        </is>
      </c>
    </row>
    <row r="78">
      <c r="A78" s="28" t="inlineStr">
        <is>
          <t>Packer fluid hydrostatic at packer</t>
        </is>
      </c>
      <c r="B78" s="59">
        <f>0.052*$B$75*$B$76</f>
        <v/>
      </c>
      <c r="C78" s="30" t="inlineStr">
        <is>
          <t>psi</t>
        </is>
      </c>
      <c r="D78" s="32">
        <f>IFERROR($B$78*6.894757,NA())</f>
        <v/>
      </c>
      <c r="E78" s="30" t="inlineStr">
        <is>
          <t>kPa</t>
        </is>
      </c>
    </row>
    <row r="79">
      <c r="A79" s="28" t="inlineStr">
        <is>
          <t>Required annulus surface pressure</t>
        </is>
      </c>
      <c r="B79" s="59">
        <f>$B$77-$B$78</f>
        <v/>
      </c>
      <c r="C79" s="30" t="inlineStr">
        <is>
          <t>psi</t>
        </is>
      </c>
      <c r="D79" s="32">
        <f>IFERROR($B$79*6.894757,NA())</f>
        <v/>
      </c>
      <c r="E79" s="30" t="inlineStr">
        <is>
          <t>kPa</t>
        </is>
      </c>
    </row>
  </sheetData>
  <sheetProtection selectLockedCells="0" selectUnlockedCells="0" sheet="1" objects="0" insertRows="1" insertHyperlinks="1" autoFilter="1" scenarios="0" formatColumns="0" deleteColumns="1" insertColumns="1" pivotTables="1" deleteRows="1" formatCells="1" formatRows="0" sort="1"/>
  <mergeCells count="6">
    <mergeCell ref="A41:F41"/>
    <mergeCell ref="A2:F2"/>
    <mergeCell ref="A71:F71"/>
    <mergeCell ref="A1:F1"/>
    <mergeCell ref="A6:F6"/>
    <mergeCell ref="A59:F59"/>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25.xml><?xml version="1.0" encoding="utf-8"?>
<worksheet xmlns="http://schemas.openxmlformats.org/spreadsheetml/2006/main">
  <sheetPr>
    <tabColor rgb="00548235"/>
    <outlinePr summaryBelow="1" summaryRight="1"/>
    <pageSetUpPr/>
  </sheetPr>
  <dimension ref="A1:F135"/>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Tubing &amp; Packer Forces</t>
        </is>
      </c>
      <c r="B1" s="2" t="n"/>
      <c r="C1" s="2" t="n"/>
      <c r="D1" s="2" t="n"/>
      <c r="E1" s="2" t="n"/>
      <c r="F1" s="2" t="n"/>
    </row>
    <row r="2">
      <c r="A2" s="20" t="inlineStr">
        <is>
          <t>Cross-sections, capacities, tubing stretch, and Lubinski piston/buckling/ballooning/temperature effects</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Geometry, Materials &amp; Volumes</t>
        </is>
      </c>
      <c r="B6" s="24" t="n"/>
      <c r="C6" s="24" t="n"/>
      <c r="D6" s="24" t="n"/>
      <c r="E6" s="24" t="n"/>
      <c r="F6" s="24" t="n"/>
    </row>
    <row r="8">
      <c r="A8" s="25" t="inlineStr">
        <is>
          <t>Cross-Section Areas &amp; Section Properties</t>
        </is>
      </c>
      <c r="B8" s="26" t="n"/>
      <c r="C8" s="26" t="n"/>
      <c r="D8" s="26" t="n"/>
      <c r="E8" s="26" t="n"/>
      <c r="F8" s="49" t="inlineStr">
        <is>
          <t>A = pi/4 x D^2;   I = pi/64 x (OD^4 - ID^4);   r = (ID_csg - OD_tbg)/2</t>
        </is>
      </c>
    </row>
    <row r="9">
      <c r="A9" t="inlineStr"/>
      <c r="F9" s="27" t="inlineStr">
        <is>
          <t>These areas, properties and material constants are referenced by the force calculations below. Steel defaults: E = 30e6 psi, nu = 0.30.</t>
        </is>
      </c>
    </row>
    <row r="10">
      <c r="A10" s="28" t="inlineStr">
        <is>
          <t>Tubing OD</t>
        </is>
      </c>
      <c r="B10" s="33" t="n">
        <v>2.875</v>
      </c>
      <c r="C10" s="30" t="inlineStr">
        <is>
          <t>in</t>
        </is>
      </c>
      <c r="D10" s="34">
        <f>IFERROR($B$10*25.4,NA())</f>
        <v/>
      </c>
      <c r="E10" s="30" t="inlineStr">
        <is>
          <t>mm</t>
        </is>
      </c>
    </row>
    <row r="11">
      <c r="A11" s="28" t="inlineStr">
        <is>
          <t>Tubing ID</t>
        </is>
      </c>
      <c r="B11" s="33" t="n">
        <v>2.441</v>
      </c>
      <c r="C11" s="30" t="inlineStr">
        <is>
          <t>in</t>
        </is>
      </c>
      <c r="D11" s="34">
        <f>IFERROR($B$11*25.4,NA())</f>
        <v/>
      </c>
      <c r="E11" s="30" t="inlineStr">
        <is>
          <t>mm</t>
        </is>
      </c>
    </row>
    <row r="12">
      <c r="A12" s="28" t="inlineStr">
        <is>
          <t>Packer seal bore diameter</t>
        </is>
      </c>
      <c r="B12" s="33" t="n">
        <v>3.25</v>
      </c>
      <c r="C12" s="30" t="inlineStr">
        <is>
          <t>in</t>
        </is>
      </c>
      <c r="D12" s="34">
        <f>IFERROR($B$12*25.4,NA())</f>
        <v/>
      </c>
      <c r="E12" s="30" t="inlineStr">
        <is>
          <t>mm</t>
        </is>
      </c>
    </row>
    <row r="13">
      <c r="A13" s="28" t="inlineStr">
        <is>
          <t>Casing ID</t>
        </is>
      </c>
      <c r="B13" s="33" t="n">
        <v>6.276</v>
      </c>
      <c r="C13" s="30" t="inlineStr">
        <is>
          <t>in</t>
        </is>
      </c>
      <c r="D13" s="34">
        <f>IFERROR($B$13*25.4,NA())</f>
        <v/>
      </c>
      <c r="E13" s="30" t="inlineStr">
        <is>
          <t>mm</t>
        </is>
      </c>
    </row>
    <row r="14">
      <c r="A14" s="28" t="inlineStr">
        <is>
          <t>Young's modulus (E)</t>
        </is>
      </c>
      <c r="B14" s="31" t="n">
        <v>30000000</v>
      </c>
      <c r="C14" s="30" t="inlineStr">
        <is>
          <t>psi</t>
        </is>
      </c>
      <c r="D14" s="32">
        <f>IFERROR($B$14*6.894757e-06,NA())</f>
        <v/>
      </c>
      <c r="E14" s="30" t="inlineStr">
        <is>
          <t>GPa</t>
        </is>
      </c>
    </row>
    <row r="15">
      <c r="A15" s="28" t="inlineStr">
        <is>
          <t>Poisson's ratio (nu)</t>
        </is>
      </c>
      <c r="B15" s="41" t="n">
        <v>0.3</v>
      </c>
      <c r="C15" s="30" t="inlineStr"/>
      <c r="F15" s="27" t="inlineStr">
        <is>
          <t>Dimensionless; 0.30 for steel.</t>
        </is>
      </c>
    </row>
    <row r="16">
      <c r="A16" s="28" t="inlineStr">
        <is>
          <t>Tubing OD area (Ao)</t>
        </is>
      </c>
      <c r="B16" s="50">
        <f>PI()/4*$B$10^2</f>
        <v/>
      </c>
      <c r="C16" s="30" t="inlineStr">
        <is>
          <t>in2</t>
        </is>
      </c>
      <c r="D16" s="34">
        <f>IFERROR($B$16*6.4516,NA())</f>
        <v/>
      </c>
      <c r="E16" s="30" t="inlineStr">
        <is>
          <t>cm2</t>
        </is>
      </c>
    </row>
    <row r="17">
      <c r="A17" s="28" t="inlineStr">
        <is>
          <t>Tubing ID area (Ai)</t>
        </is>
      </c>
      <c r="B17" s="50">
        <f>PI()/4*$B$11^2</f>
        <v/>
      </c>
      <c r="C17" s="30" t="inlineStr">
        <is>
          <t>in2</t>
        </is>
      </c>
      <c r="D17" s="34">
        <f>IFERROR($B$17*6.4516,NA())</f>
        <v/>
      </c>
      <c r="E17" s="30" t="inlineStr">
        <is>
          <t>cm2</t>
        </is>
      </c>
    </row>
    <row r="18">
      <c r="A18" s="28" t="inlineStr">
        <is>
          <t>Steel cross-section (As = Ao - Ai)</t>
        </is>
      </c>
      <c r="B18" s="50">
        <f>$B$16-$B$17</f>
        <v/>
      </c>
      <c r="C18" s="30" t="inlineStr">
        <is>
          <t>in2</t>
        </is>
      </c>
      <c r="D18" s="34">
        <f>IFERROR($B$18*6.4516,NA())</f>
        <v/>
      </c>
      <c r="E18" s="30" t="inlineStr">
        <is>
          <t>cm2</t>
        </is>
      </c>
    </row>
    <row r="19">
      <c r="A19" s="28" t="inlineStr">
        <is>
          <t>Packer bore area (Ap)</t>
        </is>
      </c>
      <c r="B19" s="50">
        <f>PI()/4*$B$12^2</f>
        <v/>
      </c>
      <c r="C19" s="30" t="inlineStr">
        <is>
          <t>in2</t>
        </is>
      </c>
      <c r="D19" s="34">
        <f>IFERROR($B$19*6.4516,NA())</f>
        <v/>
      </c>
      <c r="E19" s="30" t="inlineStr">
        <is>
          <t>cm2</t>
        </is>
      </c>
    </row>
    <row r="20">
      <c r="A20" s="28" t="inlineStr">
        <is>
          <t>Moment of inertia (I)</t>
        </is>
      </c>
      <c r="B20" s="50">
        <f>PI()/64*($B$10^4-$B$11^4)</f>
        <v/>
      </c>
      <c r="C20" s="30" t="inlineStr"/>
      <c r="F20" s="27" t="inlineStr">
        <is>
          <t>in4</t>
        </is>
      </c>
    </row>
    <row r="21">
      <c r="A21" s="28" t="inlineStr">
        <is>
          <t>Radial clearance tubing-to-casing (r)</t>
        </is>
      </c>
      <c r="B21" s="50">
        <f>($B$13-$B$10)/2</f>
        <v/>
      </c>
      <c r="C21" s="30" t="inlineStr">
        <is>
          <t>in</t>
        </is>
      </c>
      <c r="D21" s="34">
        <f>IFERROR($B$21*25.4,NA())</f>
        <v/>
      </c>
      <c r="E21" s="30" t="inlineStr">
        <is>
          <t>mm</t>
        </is>
      </c>
    </row>
    <row r="23">
      <c r="A23" s="25" t="inlineStr">
        <is>
          <t>Tubing Capacity &amp; Displacement</t>
        </is>
      </c>
      <c r="B23" s="26" t="n"/>
      <c r="C23" s="26" t="n"/>
      <c r="D23" s="26" t="n"/>
      <c r="E23" s="26" t="n"/>
      <c r="F23" s="49" t="inlineStr">
        <is>
          <t>Cap [bbl/ft] = ID^2 / 1029.4;   Disp_metal = (OD^2 - ID^2) / 1029.4;   Disp_closed = OD^2 / 1029.4</t>
        </is>
      </c>
    </row>
    <row r="24">
      <c r="A24" t="inlineStr"/>
      <c r="F24" s="27" t="inlineStr">
        <is>
          <t>Uses tubing OD/ID from the geometry block above.</t>
        </is>
      </c>
    </row>
    <row r="25">
      <c r="A25" s="28" t="inlineStr">
        <is>
          <t>Tubing length</t>
        </is>
      </c>
      <c r="B25" s="31" t="n">
        <v>8800</v>
      </c>
      <c r="C25" s="30" t="inlineStr">
        <is>
          <t>ft</t>
        </is>
      </c>
      <c r="D25" s="32">
        <f>IFERROR($B$25*0.3048,NA())</f>
        <v/>
      </c>
      <c r="E25" s="30" t="inlineStr">
        <is>
          <t>m</t>
        </is>
      </c>
    </row>
    <row r="26">
      <c r="A26" s="28" t="inlineStr">
        <is>
          <t>Capacity</t>
        </is>
      </c>
      <c r="B26" s="52">
        <f>$B$11^2/1029.4</f>
        <v/>
      </c>
      <c r="C26" s="30" t="inlineStr">
        <is>
          <t>bbl/ft</t>
        </is>
      </c>
      <c r="D26" s="53">
        <f>IFERROR($B$26*0.5216119,NA())</f>
        <v/>
      </c>
      <c r="E26" s="30" t="inlineStr">
        <is>
          <t>m3/m</t>
        </is>
      </c>
    </row>
    <row r="27">
      <c r="A27" s="28" t="inlineStr">
        <is>
          <t>Metal displacement (open-ended)</t>
        </is>
      </c>
      <c r="B27" s="52">
        <f>($B$10^2-$B$11^2)/1029.4</f>
        <v/>
      </c>
      <c r="C27" s="30" t="inlineStr">
        <is>
          <t>bbl/ft</t>
        </is>
      </c>
      <c r="D27" s="53">
        <f>IFERROR($B$27*0.5216119,NA())</f>
        <v/>
      </c>
      <c r="E27" s="30" t="inlineStr">
        <is>
          <t>m3/m</t>
        </is>
      </c>
    </row>
    <row r="28">
      <c r="A28" s="28" t="inlineStr">
        <is>
          <t>Closed-end displacement</t>
        </is>
      </c>
      <c r="B28" s="52">
        <f>$B$10^2/1029.4</f>
        <v/>
      </c>
      <c r="C28" s="30" t="inlineStr">
        <is>
          <t>bbl/ft</t>
        </is>
      </c>
      <c r="D28" s="53">
        <f>IFERROR($B$28*0.5216119,NA())</f>
        <v/>
      </c>
      <c r="E28" s="30" t="inlineStr">
        <is>
          <t>m3/m</t>
        </is>
      </c>
    </row>
    <row r="29">
      <c r="A29" s="28" t="inlineStr">
        <is>
          <t>String internal volume</t>
        </is>
      </c>
      <c r="B29" s="60">
        <f>$B$26*$B$25</f>
        <v/>
      </c>
      <c r="C29" s="30" t="inlineStr">
        <is>
          <t>bbl</t>
        </is>
      </c>
      <c r="D29" s="61">
        <f>IFERROR($B$29*0.1589873,NA())</f>
        <v/>
      </c>
      <c r="E29" s="30" t="inlineStr">
        <is>
          <t>m3</t>
        </is>
      </c>
    </row>
    <row r="30">
      <c r="A30" s="28" t="inlineStr">
        <is>
          <t>String metal displacement</t>
        </is>
      </c>
      <c r="B30" s="60">
        <f>$B$27*$B$25</f>
        <v/>
      </c>
      <c r="C30" s="30" t="inlineStr">
        <is>
          <t>bbl</t>
        </is>
      </c>
      <c r="D30" s="61">
        <f>IFERROR($B$30*0.1589873,NA())</f>
        <v/>
      </c>
      <c r="E30" s="30" t="inlineStr">
        <is>
          <t>m3</t>
        </is>
      </c>
    </row>
    <row r="31">
      <c r="A31" s="28" t="inlineStr">
        <is>
          <t>String closed-end displacement</t>
        </is>
      </c>
      <c r="B31" s="60">
        <f>$B$28*$B$25</f>
        <v/>
      </c>
      <c r="C31" s="30" t="inlineStr">
        <is>
          <t>bbl</t>
        </is>
      </c>
      <c r="D31" s="61">
        <f>IFERROR($B$31*0.1589873,NA())</f>
        <v/>
      </c>
      <c r="E31" s="30" t="inlineStr">
        <is>
          <t>m3</t>
        </is>
      </c>
    </row>
    <row r="33">
      <c r="A33" s="25" t="inlineStr">
        <is>
          <t>Annular Volume Between Tubing and Casing</t>
        </is>
      </c>
      <c r="B33" s="26" t="n"/>
      <c r="C33" s="26" t="n"/>
      <c r="D33" s="26" t="n"/>
      <c r="E33" s="26" t="n"/>
      <c r="F33" s="49" t="inlineStr">
        <is>
          <t>V_ann [bbl/ft] = (ID_csg^2 - OD_tbg^2) / 1029.4</t>
        </is>
      </c>
    </row>
    <row r="34">
      <c r="A34" t="inlineStr"/>
      <c r="F34" s="27" t="inlineStr">
        <is>
          <t>Uses casing ID and tubing OD from the geometry block above.</t>
        </is>
      </c>
    </row>
    <row r="35">
      <c r="A35" s="28" t="inlineStr">
        <is>
          <t>Annulus length</t>
        </is>
      </c>
      <c r="B35" s="31" t="n">
        <v>8800</v>
      </c>
      <c r="C35" s="30" t="inlineStr">
        <is>
          <t>ft</t>
        </is>
      </c>
      <c r="D35" s="32">
        <f>IFERROR($B$35*0.3048,NA())</f>
        <v/>
      </c>
      <c r="E35" s="30" t="inlineStr">
        <is>
          <t>m</t>
        </is>
      </c>
    </row>
    <row r="36">
      <c r="A36" s="28" t="inlineStr">
        <is>
          <t>Annular capacity</t>
        </is>
      </c>
      <c r="B36" s="52">
        <f>($B$13^2-$B$10^2)/1029.4</f>
        <v/>
      </c>
      <c r="C36" s="30" t="inlineStr">
        <is>
          <t>bbl/ft</t>
        </is>
      </c>
      <c r="D36" s="53">
        <f>IFERROR($B$36*0.5216119,NA())</f>
        <v/>
      </c>
      <c r="E36" s="30" t="inlineStr">
        <is>
          <t>m3/m</t>
        </is>
      </c>
    </row>
    <row r="37">
      <c r="A37" s="28" t="inlineStr">
        <is>
          <t>Annular volume</t>
        </is>
      </c>
      <c r="B37" s="60">
        <f>$B$36*$B$35</f>
        <v/>
      </c>
      <c r="C37" s="30" t="inlineStr">
        <is>
          <t>bbl</t>
        </is>
      </c>
      <c r="D37" s="61">
        <f>IFERROR($B$37*0.1589873,NA())</f>
        <v/>
      </c>
      <c r="E37" s="30" t="inlineStr">
        <is>
          <t>m3</t>
        </is>
      </c>
    </row>
    <row r="39" ht="20" customHeight="1">
      <c r="A39" s="23" t="inlineStr">
        <is>
          <t>Stretch &amp; Setting Forces</t>
        </is>
      </c>
      <c r="B39" s="24" t="n"/>
      <c r="C39" s="24" t="n"/>
      <c r="D39" s="24" t="n"/>
      <c r="E39" s="24" t="n"/>
      <c r="F39" s="24" t="n"/>
    </row>
    <row r="41">
      <c r="A41" s="25" t="inlineStr">
        <is>
          <t>Free Tubing Stretch Under Pull</t>
        </is>
      </c>
      <c r="B41" s="26" t="n"/>
      <c r="C41" s="26" t="n"/>
      <c r="D41" s="26" t="n"/>
      <c r="E41" s="26" t="n"/>
      <c r="F41" s="49" t="inlineStr">
        <is>
          <t>e [in] = P [lbf] x L [ft] x 12 / (As [in2] x E [psi])</t>
        </is>
      </c>
    </row>
    <row r="42">
      <c r="A42" t="inlineStr"/>
      <c r="F42" s="27" t="inlineStr">
        <is>
          <t>Hooke's law for free (unanchored) tubing. Uses As and E from the geometry block above.</t>
        </is>
      </c>
    </row>
    <row r="43">
      <c r="A43" s="28" t="inlineStr">
        <is>
          <t>Pull force (P)</t>
        </is>
      </c>
      <c r="B43" s="31" t="n">
        <v>20000</v>
      </c>
      <c r="C43" s="30" t="inlineStr">
        <is>
          <t>lbf</t>
        </is>
      </c>
      <c r="D43" s="32">
        <f>IFERROR($B$43*0.004448222,NA())</f>
        <v/>
      </c>
      <c r="E43" s="30" t="inlineStr">
        <is>
          <t>kN</t>
        </is>
      </c>
    </row>
    <row r="44">
      <c r="A44" s="28" t="inlineStr">
        <is>
          <t>Free length (L)</t>
        </is>
      </c>
      <c r="B44" s="31" t="n">
        <v>8800</v>
      </c>
      <c r="C44" s="30" t="inlineStr">
        <is>
          <t>ft</t>
        </is>
      </c>
      <c r="D44" s="32">
        <f>IFERROR($B$44*0.3048,NA())</f>
        <v/>
      </c>
      <c r="E44" s="30" t="inlineStr">
        <is>
          <t>m</t>
        </is>
      </c>
    </row>
    <row r="45">
      <c r="A45" s="28" t="inlineStr">
        <is>
          <t>Stretch (e)</t>
        </is>
      </c>
      <c r="B45" s="51">
        <f>$B$43*$B$44*12/($B$18*$B$14)</f>
        <v/>
      </c>
      <c r="C45" s="30" t="inlineStr">
        <is>
          <t>in</t>
        </is>
      </c>
      <c r="D45" s="42">
        <f>IFERROR($B$45*25.4,NA())</f>
        <v/>
      </c>
      <c r="E45" s="30" t="inlineStr">
        <is>
          <t>mm</t>
        </is>
      </c>
    </row>
    <row r="47">
      <c r="A47" s="25" t="inlineStr">
        <is>
          <t>Packer Setting Force from Surface Slack-Off</t>
        </is>
      </c>
      <c r="B47" s="26" t="n"/>
      <c r="C47" s="26" t="n"/>
      <c r="D47" s="26" t="n"/>
      <c r="E47" s="26" t="n"/>
      <c r="F47" s="49" t="inlineStr">
        <is>
          <t>F_pkr = W_slackoff x (1 - friction/100)</t>
        </is>
      </c>
    </row>
    <row r="48">
      <c r="A48" t="inlineStr"/>
      <c r="F48" s="27" t="inlineStr">
        <is>
          <t>Simplified: a percentage of surface slack-off weight is lost to drag before reaching the packer. In deviated wells use a torque-and-drag model - losses can be far higher than a flat percentage.</t>
        </is>
      </c>
    </row>
    <row r="49">
      <c r="A49" s="28" t="inlineStr">
        <is>
          <t>Surface slack-off weight</t>
        </is>
      </c>
      <c r="B49" s="31" t="n">
        <v>20000</v>
      </c>
      <c r="C49" s="30" t="inlineStr">
        <is>
          <t>lbf</t>
        </is>
      </c>
      <c r="D49" s="32">
        <f>IFERROR($B$49*0.004448222,NA())</f>
        <v/>
      </c>
      <c r="E49" s="30" t="inlineStr">
        <is>
          <t>kN</t>
        </is>
      </c>
    </row>
    <row r="50">
      <c r="A50" s="28" t="inlineStr">
        <is>
          <t>Friction / drag loss</t>
        </is>
      </c>
      <c r="B50" s="37" t="n">
        <v>10</v>
      </c>
      <c r="C50" s="30" t="inlineStr"/>
      <c r="F50" s="27" t="inlineStr">
        <is>
          <t>Percent of slack-off lost to drag.</t>
        </is>
      </c>
    </row>
    <row r="51">
      <c r="A51" s="28" t="inlineStr">
        <is>
          <t>Force delivered to packer</t>
        </is>
      </c>
      <c r="B51" s="59">
        <f>$B$49*(1-$B$50/100)</f>
        <v/>
      </c>
      <c r="C51" s="30" t="inlineStr">
        <is>
          <t>lbf</t>
        </is>
      </c>
      <c r="D51" s="32">
        <f>IFERROR($B$51*0.004448222,NA())</f>
        <v/>
      </c>
      <c r="E51" s="30" t="inlineStr">
        <is>
          <t>kN</t>
        </is>
      </c>
    </row>
    <row r="53" ht="20" customHeight="1">
      <c r="A53" s="23" t="inlineStr">
        <is>
          <t>Packer Force-Length Effects (Lubinski)</t>
        </is>
      </c>
      <c r="B53" s="24" t="n"/>
      <c r="C53" s="24" t="n"/>
      <c r="D53" s="24" t="n"/>
      <c r="E53" s="24" t="n"/>
      <c r="F53" s="24" t="n"/>
    </row>
    <row r="55">
      <c r="A55" s="25" t="inlineStr">
        <is>
          <t>Load Case: Pressure &amp; Temperature Changes</t>
        </is>
      </c>
      <c r="B55" s="26" t="n"/>
      <c r="C55" s="26" t="n"/>
      <c r="D55" s="26" t="n"/>
      <c r="E55" s="26" t="n"/>
      <c r="F55" s="49" t="inlineStr">
        <is>
          <t>BF = 1 - rho_ann/65.4;   w_b [lb/in] = w [lb/ft] x BF / 12</t>
        </is>
      </c>
    </row>
    <row r="56">
      <c r="A56" t="inlineStr"/>
      <c r="F56" s="27" t="inlineStr">
        <is>
          <t>Changes (final minus initial) from the landed condition, for a tubing string free to move in the packer bore. dP at packer drives piston and buckling; average dP over the string drives ballooning. Negative dT = cooling (e.g. injection/stimulation).</t>
        </is>
      </c>
    </row>
    <row r="57">
      <c r="A57" s="28" t="inlineStr">
        <is>
          <t>Tubing length to packer (L)</t>
        </is>
      </c>
      <c r="B57" s="31" t="n">
        <v>8800</v>
      </c>
      <c r="C57" s="30" t="inlineStr">
        <is>
          <t>ft</t>
        </is>
      </c>
      <c r="D57" s="32">
        <f>IFERROR($B$57*0.3048,NA())</f>
        <v/>
      </c>
      <c r="E57" s="30" t="inlineStr">
        <is>
          <t>m</t>
        </is>
      </c>
    </row>
    <row r="58">
      <c r="A58" s="28" t="inlineStr">
        <is>
          <t>Tubing weight in air (w)</t>
        </is>
      </c>
      <c r="B58" s="41" t="n">
        <v>6.5</v>
      </c>
      <c r="C58" s="30" t="inlineStr">
        <is>
          <t>lb/ft</t>
        </is>
      </c>
      <c r="D58" s="42">
        <f>IFERROR($B$58*1.488164,NA())</f>
        <v/>
      </c>
      <c r="E58" s="30" t="inlineStr">
        <is>
          <t>kg/m</t>
        </is>
      </c>
    </row>
    <row r="59">
      <c r="A59" s="28" t="inlineStr">
        <is>
          <t>Fluid density for buoyancy</t>
        </is>
      </c>
      <c r="B59" s="35" t="n">
        <v>9.199999999999999</v>
      </c>
      <c r="C59" s="30" t="inlineStr">
        <is>
          <t>ppg</t>
        </is>
      </c>
      <c r="D59" s="36">
        <f>IFERROR($B$59*119.8264,NA())</f>
        <v/>
      </c>
      <c r="E59" s="30" t="inlineStr">
        <is>
          <t>kg/m3</t>
        </is>
      </c>
    </row>
    <row r="60">
      <c r="A60" s="28" t="inlineStr">
        <is>
          <t>Tubing pressure change at packer (dPi)</t>
        </is>
      </c>
      <c r="B60" s="31" t="n">
        <v>2000</v>
      </c>
      <c r="C60" s="30" t="inlineStr">
        <is>
          <t>psi</t>
        </is>
      </c>
      <c r="D60" s="32">
        <f>IFERROR($B$60*6.894757,NA())</f>
        <v/>
      </c>
      <c r="E60" s="30" t="inlineStr">
        <is>
          <t>kPa</t>
        </is>
      </c>
    </row>
    <row r="61">
      <c r="A61" s="28" t="inlineStr">
        <is>
          <t>Annulus pressure change at packer (dPo)</t>
        </is>
      </c>
      <c r="B61" s="31" t="n">
        <v>0</v>
      </c>
      <c r="C61" s="30" t="inlineStr">
        <is>
          <t>psi</t>
        </is>
      </c>
      <c r="D61" s="32">
        <f>IFERROR($B$61*6.894757,NA())</f>
        <v/>
      </c>
      <c r="E61" s="30" t="inlineStr">
        <is>
          <t>kPa</t>
        </is>
      </c>
    </row>
    <row r="62">
      <c r="A62" s="28" t="inlineStr">
        <is>
          <t>Average tubing pressure change (dPi_avg)</t>
        </is>
      </c>
      <c r="B62" s="31" t="n">
        <v>1000</v>
      </c>
      <c r="C62" s="30" t="inlineStr">
        <is>
          <t>psi</t>
        </is>
      </c>
      <c r="D62" s="32">
        <f>IFERROR($B$62*6.894757,NA())</f>
        <v/>
      </c>
      <c r="E62" s="30" t="inlineStr">
        <is>
          <t>kPa</t>
        </is>
      </c>
    </row>
    <row r="63">
      <c r="A63" s="28" t="inlineStr">
        <is>
          <t>Average annulus pressure change (dPo_avg)</t>
        </is>
      </c>
      <c r="B63" s="31" t="n">
        <v>0</v>
      </c>
      <c r="C63" s="30" t="inlineStr">
        <is>
          <t>psi</t>
        </is>
      </c>
      <c r="D63" s="32">
        <f>IFERROR($B$63*6.894757,NA())</f>
        <v/>
      </c>
      <c r="E63" s="30" t="inlineStr">
        <is>
          <t>kPa</t>
        </is>
      </c>
    </row>
    <row r="64">
      <c r="A64" s="28" t="inlineStr">
        <is>
          <t>Average temperature change (dT)</t>
        </is>
      </c>
      <c r="B64" s="31" t="n">
        <v>-40</v>
      </c>
      <c r="C64" s="30" t="inlineStr">
        <is>
          <t>degF (delta)</t>
        </is>
      </c>
      <c r="D64" s="32">
        <f>IFERROR($B$64*0.5555556,NA())</f>
        <v/>
      </c>
      <c r="E64" s="30" t="inlineStr">
        <is>
          <t>degC (delta)</t>
        </is>
      </c>
    </row>
    <row r="65">
      <c r="A65" s="28" t="inlineStr">
        <is>
          <t>Buoyancy factor (BF)</t>
        </is>
      </c>
      <c r="B65" s="50">
        <f>1-$B$59/65.4</f>
        <v/>
      </c>
      <c r="C65" s="30" t="inlineStr"/>
    </row>
    <row r="66">
      <c r="A66" s="28" t="inlineStr">
        <is>
          <t>Buoyed weight (w_b)</t>
        </is>
      </c>
      <c r="B66" s="58">
        <f>$B$58*$B$65/12</f>
        <v/>
      </c>
      <c r="C66" s="30" t="inlineStr"/>
      <c r="F66" s="27" t="inlineStr">
        <is>
          <t>lb/in, used in buckling terms.</t>
        </is>
      </c>
    </row>
    <row r="68">
      <c r="A68" s="25" t="inlineStr">
        <is>
          <t>1. Piston Effect</t>
        </is>
      </c>
      <c r="B68" s="26" t="n"/>
      <c r="C68" s="26" t="n"/>
      <c r="D68" s="26" t="n"/>
      <c r="E68" s="26" t="n"/>
      <c r="F68" s="49" t="inlineStr">
        <is>
          <t>F1 = (Ap - Ai) x dPi - (Ap - Ao) x dPo;   dL1 [in] = -F1 x 12 x L / (E x As)</t>
        </is>
      </c>
    </row>
    <row r="69">
      <c r="A69" t="inlineStr"/>
      <c r="F69" s="27" t="inlineStr">
        <is>
          <t>Force on the tubing end at the packer bore. Positive F1 shortens the tubing (negative dL1). Uses areas from the geometry block.</t>
        </is>
      </c>
    </row>
    <row r="70">
      <c r="A70" s="28" t="inlineStr">
        <is>
          <t>Piston force (F1)</t>
        </is>
      </c>
      <c r="B70" s="59">
        <f>($B$19-$B$17)*$B$60-($B$19-$B$16)*$B$61</f>
        <v/>
      </c>
      <c r="C70" s="30" t="inlineStr">
        <is>
          <t>lbf</t>
        </is>
      </c>
      <c r="D70" s="32">
        <f>IFERROR($B$70*0.004448222,NA())</f>
        <v/>
      </c>
      <c r="E70" s="30" t="inlineStr">
        <is>
          <t>kN</t>
        </is>
      </c>
    </row>
    <row r="71">
      <c r="A71" s="28" t="inlineStr">
        <is>
          <t>Piston length change (dL1)</t>
        </is>
      </c>
      <c r="B71" s="51">
        <f>-$B$70*12*$B$57/($B$14*$B$18)</f>
        <v/>
      </c>
      <c r="C71" s="30" t="inlineStr">
        <is>
          <t>in</t>
        </is>
      </c>
      <c r="D71" s="42">
        <f>IFERROR($B$71*25.4,NA())</f>
        <v/>
      </c>
      <c r="E71" s="30" t="inlineStr">
        <is>
          <t>mm</t>
        </is>
      </c>
      <c r="F71" s="27" t="inlineStr">
        <is>
          <t>Negative = shortening.</t>
        </is>
      </c>
    </row>
    <row r="73">
      <c r="A73" s="25" t="inlineStr">
        <is>
          <t>2. Helical Buckling Effect</t>
        </is>
      </c>
      <c r="B73" s="26" t="n"/>
      <c r="C73" s="26" t="n"/>
      <c r="D73" s="26" t="n"/>
      <c r="E73" s="26" t="n"/>
      <c r="F73" s="49" t="inlineStr">
        <is>
          <t>dL2 [in] = -r^2 x Ap^2 x (dPi - dPo)^2 / (8 x E x I x w_b)</t>
        </is>
      </c>
    </row>
    <row r="74">
      <c r="A74" t="inlineStr"/>
      <c r="F74" s="27" t="inlineStr">
        <is>
          <t>Lubinski helical buckling shortening; applies only when dPi &gt; dPo and the neutral point is within the string. w_b is buoyed weight in lb/in - fluid-gradient corrections to the effective weight are neglected (approximate).</t>
        </is>
      </c>
    </row>
    <row r="75">
      <c r="A75" s="28" t="inlineStr">
        <is>
          <t>Buckling length change (dL2)</t>
        </is>
      </c>
      <c r="B75" s="51">
        <f>IF($B$60&gt;$B$61,-$B$21^2*$B$19^2*($B$60-$B$61)^2/(8*$B$14*$B$20*$B$66),0)</f>
        <v/>
      </c>
      <c r="C75" s="30" t="inlineStr">
        <is>
          <t>in</t>
        </is>
      </c>
      <c r="D75" s="42">
        <f>IFERROR($B$75*25.4,NA())</f>
        <v/>
      </c>
      <c r="E75" s="30" t="inlineStr">
        <is>
          <t>mm</t>
        </is>
      </c>
      <c r="F75" s="27" t="inlineStr">
        <is>
          <t>Negative = shortening; 0 if dPi &lt;= dPo.</t>
        </is>
      </c>
    </row>
    <row r="77">
      <c r="A77" s="25" t="inlineStr">
        <is>
          <t>3. Ballooning Effect</t>
        </is>
      </c>
      <c r="B77" s="26" t="n"/>
      <c r="C77" s="26" t="n"/>
      <c r="D77" s="26" t="n"/>
      <c r="E77" s="26" t="n"/>
      <c r="F77" s="49" t="inlineStr">
        <is>
          <t>dL3 [in] = -(2 x nu x 12 x L / E) x (dPi_avg x Ai - dPo_avg x Ao) / (Ao - Ai)</t>
        </is>
      </c>
    </row>
    <row r="78">
      <c r="A78" t="inlineStr"/>
      <c r="F78" s="27" t="inlineStr">
        <is>
          <t>Classic Lubinski ballooning/reverse-ballooning form with average pressure changes. Internal pressure increase swells the tubing and shortens it.</t>
        </is>
      </c>
    </row>
    <row r="79">
      <c r="A79" s="28" t="inlineStr">
        <is>
          <t>Ballooning length change (dL3)</t>
        </is>
      </c>
      <c r="B79" s="51">
        <f>-(2*$B$15*12*$B$57/$B$14)*($B$62*$B$17-$B$63*$B$16)/($B$16-$B$17)</f>
        <v/>
      </c>
      <c r="C79" s="30" t="inlineStr">
        <is>
          <t>in</t>
        </is>
      </c>
      <c r="D79" s="42">
        <f>IFERROR($B$79*25.4,NA())</f>
        <v/>
      </c>
      <c r="E79" s="30" t="inlineStr">
        <is>
          <t>mm</t>
        </is>
      </c>
      <c r="F79" s="27" t="inlineStr">
        <is>
          <t>Negative = shortening.</t>
        </is>
      </c>
    </row>
    <row r="81">
      <c r="A81" s="25" t="inlineStr">
        <is>
          <t>4. Temperature Effect</t>
        </is>
      </c>
      <c r="B81" s="26" t="n"/>
      <c r="C81" s="26" t="n"/>
      <c r="D81" s="26" t="n"/>
      <c r="E81" s="26" t="n"/>
      <c r="F81" s="49" t="inlineStr">
        <is>
          <t>dL4 [in] = 12 x L [ft] x beta x dT [degF]</t>
        </is>
      </c>
    </row>
    <row r="82">
      <c r="A82" t="inlineStr"/>
      <c r="F82" s="27" t="inlineStr">
        <is>
          <t>beta = coefficient of thermal expansion for steel, 6.9e-6 per degF.</t>
        </is>
      </c>
    </row>
    <row r="83">
      <c r="A83" s="28" t="inlineStr">
        <is>
          <t>Thermal expansion coeff (beta)</t>
        </is>
      </c>
      <c r="B83" s="116" t="n">
        <v>6.9e-06</v>
      </c>
      <c r="C83" s="30" t="inlineStr"/>
      <c r="F83" s="27" t="inlineStr">
        <is>
          <t>per degF (6.9e-6 for steel)</t>
        </is>
      </c>
    </row>
    <row r="84">
      <c r="A84" s="28" t="inlineStr">
        <is>
          <t>Temperature length change (dL4)</t>
        </is>
      </c>
      <c r="B84" s="51">
        <f>12*$B$57*$B$83*$B$64</f>
        <v/>
      </c>
      <c r="C84" s="30" t="inlineStr">
        <is>
          <t>in</t>
        </is>
      </c>
      <c r="D84" s="42">
        <f>IFERROR($B$84*25.4,NA())</f>
        <v/>
      </c>
      <c r="E84" s="30" t="inlineStr">
        <is>
          <t>mm</t>
        </is>
      </c>
      <c r="F84" s="27" t="inlineStr">
        <is>
          <t>Negative = shortening (cooling).</t>
        </is>
      </c>
    </row>
    <row r="86">
      <c r="A86" s="25" t="inlineStr">
        <is>
          <t>Force-Length Summary &amp; Compensating Force</t>
        </is>
      </c>
      <c r="B86" s="26" t="n"/>
      <c r="C86" s="26" t="n"/>
      <c r="D86" s="26" t="n"/>
      <c r="E86" s="26" t="n"/>
      <c r="F86" s="49" t="inlineStr">
        <is>
          <t>dL_total = dL1 + dL2 + dL3 + dL4;   F_comp = -dL_total x E x As / (12 x L)</t>
        </is>
      </c>
    </row>
    <row r="87">
      <c r="A87" t="inlineStr"/>
      <c r="F87" s="27" t="inlineStr">
        <is>
          <t>Net motion at the seal assembly if free to move. F_comp is the slack-off (dL_total negative) or pick-up (positive) force to land so the seals stay in place - linear Hooke approximation, ignores buckling nonlinearity.</t>
        </is>
      </c>
    </row>
    <row r="88">
      <c r="A88" s="28" t="inlineStr">
        <is>
          <t>Piston (dL1)</t>
        </is>
      </c>
      <c r="B88" s="51">
        <f>$B$71</f>
        <v/>
      </c>
      <c r="C88" s="30" t="inlineStr">
        <is>
          <t>in</t>
        </is>
      </c>
      <c r="D88" s="42">
        <f>IFERROR($B$88*25.4,NA())</f>
        <v/>
      </c>
      <c r="E88" s="30" t="inlineStr">
        <is>
          <t>mm</t>
        </is>
      </c>
    </row>
    <row r="89">
      <c r="A89" s="28" t="inlineStr">
        <is>
          <t>Buckling (dL2)</t>
        </is>
      </c>
      <c r="B89" s="51">
        <f>$B$75</f>
        <v/>
      </c>
      <c r="C89" s="30" t="inlineStr">
        <is>
          <t>in</t>
        </is>
      </c>
      <c r="D89" s="42">
        <f>IFERROR($B$89*25.4,NA())</f>
        <v/>
      </c>
      <c r="E89" s="30" t="inlineStr">
        <is>
          <t>mm</t>
        </is>
      </c>
    </row>
    <row r="90">
      <c r="A90" s="28" t="inlineStr">
        <is>
          <t>Ballooning (dL3)</t>
        </is>
      </c>
      <c r="B90" s="51">
        <f>$B$79</f>
        <v/>
      </c>
      <c r="C90" s="30" t="inlineStr">
        <is>
          <t>in</t>
        </is>
      </c>
      <c r="D90" s="42">
        <f>IFERROR($B$90*25.4,NA())</f>
        <v/>
      </c>
      <c r="E90" s="30" t="inlineStr">
        <is>
          <t>mm</t>
        </is>
      </c>
    </row>
    <row r="91">
      <c r="A91" s="28" t="inlineStr">
        <is>
          <t>Temperature (dL4)</t>
        </is>
      </c>
      <c r="B91" s="51">
        <f>$B$84</f>
        <v/>
      </c>
      <c r="C91" s="30" t="inlineStr">
        <is>
          <t>in</t>
        </is>
      </c>
      <c r="D91" s="42">
        <f>IFERROR($B$91*25.4,NA())</f>
        <v/>
      </c>
      <c r="E91" s="30" t="inlineStr">
        <is>
          <t>mm</t>
        </is>
      </c>
    </row>
    <row r="92">
      <c r="A92" s="28" t="inlineStr">
        <is>
          <t>Total length change (dL_total)</t>
        </is>
      </c>
      <c r="B92" s="51">
        <f>$B$71+$B$75+$B$79+$B$84</f>
        <v/>
      </c>
      <c r="C92" s="30" t="inlineStr">
        <is>
          <t>in</t>
        </is>
      </c>
      <c r="D92" s="42">
        <f>IFERROR($B$92*25.4,NA())</f>
        <v/>
      </c>
      <c r="E92" s="30" t="inlineStr">
        <is>
          <t>mm</t>
        </is>
      </c>
      <c r="F92" s="27" t="inlineStr">
        <is>
          <t>Negative = net shortening, seals move up.</t>
        </is>
      </c>
    </row>
    <row r="93">
      <c r="A93" s="28" t="inlineStr">
        <is>
          <t>Compensating force (F_comp)</t>
        </is>
      </c>
      <c r="B93" s="59">
        <f>-$B$92*$B$14*$B$18/(12*$B$57)</f>
        <v/>
      </c>
      <c r="C93" s="30" t="inlineStr">
        <is>
          <t>lbf</t>
        </is>
      </c>
      <c r="D93" s="32">
        <f>IFERROR($B$93*0.004448222,NA())</f>
        <v/>
      </c>
      <c r="E93" s="30" t="inlineStr">
        <is>
          <t>kN</t>
        </is>
      </c>
      <c r="F93" s="27" t="inlineStr">
        <is>
          <t>Positive = slack-off weight needed; negative = pick-up.</t>
        </is>
      </c>
    </row>
    <row r="95" ht="20" customHeight="1">
      <c r="A95" s="23" t="inlineStr">
        <is>
          <t>Buckling Stability</t>
        </is>
      </c>
      <c r="B95" s="24" t="n"/>
      <c r="C95" s="24" t="n"/>
      <c r="D95" s="24" t="n"/>
      <c r="E95" s="24" t="n"/>
      <c r="F95" s="24" t="n"/>
    </row>
    <row r="97">
      <c r="A97" s="25" t="inlineStr">
        <is>
          <t>Neutral Point &amp; Helical Buckling Onset</t>
        </is>
      </c>
      <c r="B97" s="26" t="n"/>
      <c r="C97" s="26" t="n"/>
      <c r="D97" s="26" t="n"/>
      <c r="E97" s="26" t="n"/>
      <c r="F97" s="49" t="inlineStr">
        <is>
          <t>n [ft] = F / (w x BF);   F_hel = 5.55 x (E x I x w_b^2)^(1/3)</t>
        </is>
      </c>
    </row>
    <row r="98">
      <c r="A98" t="inlineStr"/>
      <c r="F98" s="27" t="inlineStr">
        <is>
          <t>n = distance from the bottom to the neutral point for compressive force F. Buckled below the neutral point. F_hel is the vertical-well helical buckling onset load (Lubinski/Wu form) - approximate; deviation and clearance change it.</t>
        </is>
      </c>
    </row>
    <row r="99">
      <c r="A99" s="28" t="inlineStr">
        <is>
          <t>Compression at bottom of string (F)</t>
        </is>
      </c>
      <c r="B99" s="31" t="n">
        <v>15000</v>
      </c>
      <c r="C99" s="30" t="inlineStr">
        <is>
          <t>lbf</t>
        </is>
      </c>
      <c r="D99" s="32">
        <f>IFERROR($B$99*0.004448222,NA())</f>
        <v/>
      </c>
      <c r="E99" s="30" t="inlineStr">
        <is>
          <t>kN</t>
        </is>
      </c>
    </row>
    <row r="100">
      <c r="A100" s="28" t="inlineStr">
        <is>
          <t>Neutral point above bottom (n)</t>
        </is>
      </c>
      <c r="B100" s="59">
        <f>$B$99/($B$58*$B$65)</f>
        <v/>
      </c>
      <c r="C100" s="30" t="inlineStr">
        <is>
          <t>ft</t>
        </is>
      </c>
      <c r="D100" s="32">
        <f>IFERROR($B$100*0.3048,NA())</f>
        <v/>
      </c>
      <c r="E100" s="30" t="inlineStr">
        <is>
          <t>m</t>
        </is>
      </c>
    </row>
    <row r="101">
      <c r="A101" s="28" t="inlineStr">
        <is>
          <t>Helical buckling onset force (F_hel)</t>
        </is>
      </c>
      <c r="B101" s="59">
        <f>5.55*($B$14*$B$20*$B$66^2)^(1/3)</f>
        <v/>
      </c>
      <c r="C101" s="30" t="inlineStr">
        <is>
          <t>lbf</t>
        </is>
      </c>
      <c r="D101" s="32">
        <f>IFERROR($B$101*0.004448222,NA())</f>
        <v/>
      </c>
      <c r="E101" s="30" t="inlineStr">
        <is>
          <t>kN</t>
        </is>
      </c>
    </row>
    <row r="102">
      <c r="A102" s="28" t="inlineStr">
        <is>
          <t>Buckling status</t>
        </is>
      </c>
      <c r="B102" s="72">
        <f>IF($B$99&lt;=0,"NO COMPRESSION - STRAIGHT",IF($B$99&lt;5.55*($B$14*$B$20*$B$66^2)^(1/3),"SINUSOIDAL / ONSET REGION","HELICALLY BUCKLED"))</f>
        <v/>
      </c>
      <c r="C102" s="30" t="inlineStr"/>
      <c r="F102" s="27" t="inlineStr">
        <is>
          <t>Text result, vertical-well approximation.</t>
        </is>
      </c>
    </row>
    <row r="104" ht="20" customHeight="1">
      <c r="A104" s="23" t="inlineStr">
        <is>
          <t>Swab &amp; Surge - Running Tubing / Packer</t>
        </is>
      </c>
      <c r="B104" s="24" t="n"/>
      <c r="C104" s="24" t="n"/>
      <c r="D104" s="24" t="n"/>
      <c r="E104" s="24" t="n"/>
      <c r="F104" s="24" t="n"/>
    </row>
    <row r="106">
      <c r="A106" s="25" t="inlineStr">
        <is>
          <t>Surge &amp; Swab Pressure (Burkhardt simplified, Bingham)</t>
        </is>
      </c>
      <c r="B106" s="26" t="n"/>
      <c r="C106" s="26" t="n"/>
      <c r="D106" s="26" t="n"/>
      <c r="E106" s="26" t="n"/>
      <c r="F106" s="49" t="inlineStr">
        <is>
          <t>closed: Ve = Vp x (0.45 + Dp^2/(Dc^2-Dp^2));  open: Ve = Vp x (0.45 + (Dp^2-Di^2)/(Dc^2-Dp^2+Di^2));  dP = L x PV x Ve/(60000x(Dc-Dp)^2) + L x YP/(200x(Dc-Dp))</t>
        </is>
      </c>
    </row>
    <row r="107">
      <c r="A107" t="inlineStr"/>
      <c r="F107" s="27" t="inlineStr">
        <is>
          <t>Closed-ended applies with a plug, packer, or float in the string (worst case). 0.45 is the Burkhardt clinging constant; laminar Bingham-plastic approximation.</t>
        </is>
      </c>
    </row>
    <row r="108">
      <c r="A108" s="28" t="inlineStr">
        <is>
          <t>Casing ID (Dc)</t>
        </is>
      </c>
      <c r="B108" s="33" t="n">
        <v>8.680999999999999</v>
      </c>
      <c r="C108" s="30" t="inlineStr">
        <is>
          <t>in</t>
        </is>
      </c>
      <c r="D108" s="34">
        <f>IFERROR($B$108*25.4,NA())</f>
        <v/>
      </c>
      <c r="E108" s="30" t="inlineStr">
        <is>
          <t>mm</t>
        </is>
      </c>
    </row>
    <row r="109">
      <c r="A109" s="28" t="inlineStr">
        <is>
          <t>Tubing OD (Dp)</t>
        </is>
      </c>
      <c r="B109" s="33" t="n">
        <v>4.5</v>
      </c>
      <c r="C109" s="30" t="inlineStr">
        <is>
          <t>in</t>
        </is>
      </c>
      <c r="D109" s="34">
        <f>IFERROR($B$109*25.4,NA())</f>
        <v/>
      </c>
      <c r="E109" s="30" t="inlineStr">
        <is>
          <t>mm</t>
        </is>
      </c>
    </row>
    <row r="110">
      <c r="A110" s="28" t="inlineStr">
        <is>
          <t>Tubing ID (Di)</t>
        </is>
      </c>
      <c r="B110" s="33" t="n">
        <v>3.958</v>
      </c>
      <c r="C110" s="30" t="inlineStr">
        <is>
          <t>in</t>
        </is>
      </c>
      <c r="D110" s="34">
        <f>IFERROR($B$110*25.4,NA())</f>
        <v/>
      </c>
      <c r="E110" s="30" t="inlineStr">
        <is>
          <t>mm</t>
        </is>
      </c>
    </row>
    <row r="111">
      <c r="A111" s="28" t="inlineStr">
        <is>
          <t>Running speed (Vp)</t>
        </is>
      </c>
      <c r="B111" s="31" t="n">
        <v>90</v>
      </c>
      <c r="C111" s="30" t="inlineStr">
        <is>
          <t>ft/min</t>
        </is>
      </c>
      <c r="D111" s="32">
        <f>IFERROR($B$111*0.3048,NA())</f>
        <v/>
      </c>
      <c r="E111" s="30" t="inlineStr">
        <is>
          <t>m/min</t>
        </is>
      </c>
      <c r="F111" s="27" t="inlineStr">
        <is>
          <t>~ one 40-ft joint in 30 s.</t>
        </is>
      </c>
    </row>
    <row r="112">
      <c r="A112" s="28" t="inlineStr">
        <is>
          <t>Fluid plastic viscosity (PV)</t>
        </is>
      </c>
      <c r="B112" s="31" t="n">
        <v>15</v>
      </c>
      <c r="C112" s="30" t="inlineStr">
        <is>
          <t>cP</t>
        </is>
      </c>
      <c r="D112" s="32">
        <f>IFERROR($B$112*1.0,NA())</f>
        <v/>
      </c>
      <c r="E112" s="30" t="inlineStr">
        <is>
          <t>mPa-s</t>
        </is>
      </c>
    </row>
    <row r="113">
      <c r="A113" s="28" t="inlineStr">
        <is>
          <t>Fluid yield point (YP)</t>
        </is>
      </c>
      <c r="B113" s="31" t="n">
        <v>12</v>
      </c>
      <c r="C113" s="30" t="inlineStr"/>
      <c r="F113" s="27" t="inlineStr">
        <is>
          <t>lb/100ft2 (no SI mirror; 1 lb/100ft2 = 0.4788 Pa)</t>
        </is>
      </c>
    </row>
    <row r="114">
      <c r="A114" s="28" t="inlineStr">
        <is>
          <t>Open hole / casing length below string shoe (L)</t>
        </is>
      </c>
      <c r="B114" s="31" t="n">
        <v>9000</v>
      </c>
      <c r="C114" s="30" t="inlineStr">
        <is>
          <t>ft</t>
        </is>
      </c>
      <c r="D114" s="32">
        <f>IFERROR($B$114*0.3048,NA())</f>
        <v/>
      </c>
      <c r="E114" s="30" t="inlineStr">
        <is>
          <t>m</t>
        </is>
      </c>
    </row>
    <row r="115">
      <c r="A115" s="28" t="inlineStr">
        <is>
          <t>Fluid density (MW)</t>
        </is>
      </c>
      <c r="B115" s="35" t="n">
        <v>9</v>
      </c>
      <c r="C115" s="30" t="inlineStr">
        <is>
          <t>ppg</t>
        </is>
      </c>
      <c r="D115" s="36">
        <f>IFERROR($B$115*119.8264,NA())</f>
        <v/>
      </c>
      <c r="E115" s="30" t="inlineStr">
        <is>
          <t>kg/m3</t>
        </is>
      </c>
    </row>
    <row r="116">
      <c r="A116" s="28" t="inlineStr">
        <is>
          <t>TVD</t>
        </is>
      </c>
      <c r="B116" s="31" t="n">
        <v>9000</v>
      </c>
      <c r="C116" s="30" t="inlineStr">
        <is>
          <t>ft</t>
        </is>
      </c>
      <c r="D116" s="32">
        <f>IFERROR($B$116*0.3048,NA())</f>
        <v/>
      </c>
      <c r="E116" s="30" t="inlineStr">
        <is>
          <t>m</t>
        </is>
      </c>
    </row>
    <row r="117">
      <c r="A117" s="28" t="inlineStr">
        <is>
          <t>Effective velocity, closed-ended (Ve)</t>
        </is>
      </c>
      <c r="B117" s="59">
        <f>$B$111*(0.45+$B$109^2/($B$108^2-$B$109^2))</f>
        <v/>
      </c>
      <c r="C117" s="30" t="inlineStr">
        <is>
          <t>ft/min</t>
        </is>
      </c>
      <c r="D117" s="32">
        <f>IFERROR($B$117*0.3048,NA())</f>
        <v/>
      </c>
      <c r="E117" s="30" t="inlineStr">
        <is>
          <t>m/min</t>
        </is>
      </c>
    </row>
    <row r="118">
      <c r="A118" s="28" t="inlineStr">
        <is>
          <t>Effective velocity, open-ended (Ve)</t>
        </is>
      </c>
      <c r="B118" s="59">
        <f>$B$111*(0.45+($B$109^2-$B$110^2)/($B$108^2-$B$109^2+$B$110^2))</f>
        <v/>
      </c>
      <c r="C118" s="30" t="inlineStr">
        <is>
          <t>ft/min</t>
        </is>
      </c>
      <c r="D118" s="32">
        <f>IFERROR($B$118*0.3048,NA())</f>
        <v/>
      </c>
      <c r="E118" s="30" t="inlineStr">
        <is>
          <t>m/min</t>
        </is>
      </c>
    </row>
    <row r="119">
      <c r="A119" s="28" t="inlineStr">
        <is>
          <t>Surge pressure, closed-ended</t>
        </is>
      </c>
      <c r="B119" s="59">
        <f>$B$114*$B$112*$B$117/(60000*($B$108-$B$109)^2)+$B$114*$B$113/(200*($B$108-$B$109))</f>
        <v/>
      </c>
      <c r="C119" s="30" t="inlineStr">
        <is>
          <t>psi</t>
        </is>
      </c>
      <c r="D119" s="32">
        <f>IFERROR($B$119*6.894757,NA())</f>
        <v/>
      </c>
      <c r="E119" s="30" t="inlineStr">
        <is>
          <t>kPa</t>
        </is>
      </c>
    </row>
    <row r="120">
      <c r="A120" s="28" t="inlineStr">
        <is>
          <t>Surge pressure, open-ended</t>
        </is>
      </c>
      <c r="B120" s="59">
        <f>$B$114*$B$112*$B$118/(60000*($B$108-$B$109)^2)+$B$114*$B$113/(200*($B$108-$B$109))</f>
        <v/>
      </c>
      <c r="C120" s="30" t="inlineStr">
        <is>
          <t>psi</t>
        </is>
      </c>
      <c r="D120" s="32">
        <f>IFERROR($B$120*6.894757,NA())</f>
        <v/>
      </c>
      <c r="E120" s="30" t="inlineStr">
        <is>
          <t>kPa</t>
        </is>
      </c>
    </row>
    <row r="121">
      <c r="A121" s="28" t="inlineStr">
        <is>
          <t>Surge EMW, closed-ended</t>
        </is>
      </c>
      <c r="B121" s="51">
        <f>$B$115+$B$119/(0.052*$B$116)</f>
        <v/>
      </c>
      <c r="C121" s="30" t="inlineStr">
        <is>
          <t>ppg</t>
        </is>
      </c>
      <c r="D121" s="42">
        <f>IFERROR($B$121*119.8264,NA())</f>
        <v/>
      </c>
      <c r="E121" s="30" t="inlineStr">
        <is>
          <t>kg/m3</t>
        </is>
      </c>
      <c r="F121" s="27" t="inlineStr">
        <is>
          <t>Running in; keep below frac / loss-limit EMW.</t>
        </is>
      </c>
    </row>
    <row r="122">
      <c r="A122" s="28" t="inlineStr">
        <is>
          <t>Swab EMW, closed-ended</t>
        </is>
      </c>
      <c r="B122" s="51">
        <f>$B$115-$B$119/(0.052*$B$116)</f>
        <v/>
      </c>
      <c r="C122" s="30" t="inlineStr">
        <is>
          <t>ppg</t>
        </is>
      </c>
      <c r="D122" s="42">
        <f>IFERROR($B$122*119.8264,NA())</f>
        <v/>
      </c>
      <c r="E122" s="30" t="inlineStr">
        <is>
          <t>kg/m3</t>
        </is>
      </c>
      <c r="F122" s="27" t="inlineStr">
        <is>
          <t>Pulling out; keep above pore / kick-margin EMW.</t>
        </is>
      </c>
    </row>
    <row r="124">
      <c r="A124" s="25" t="inlineStr">
        <is>
          <t>Max Running Speed vs Frac / Loss Margin</t>
        </is>
      </c>
      <c r="B124" s="26" t="n"/>
      <c r="C124" s="26" t="n"/>
      <c r="D124" s="26" t="n"/>
      <c r="E124" s="26" t="n"/>
      <c r="F124" s="49" t="inlineStr">
        <is>
          <t>dP_allow = (EMW_limit - MW) x 0.052 x TVD;  Vmax = (dP_allow - L x YP/(200x(Dc-Dp))) x 60000 x (Dc-Dp)^2 / (L x PV x (0.45 + Dp^2/(Dc^2-Dp^2)))</t>
        </is>
      </c>
    </row>
    <row r="125">
      <c r="A125" t="inlineStr"/>
      <c r="F125" s="27" t="inlineStr">
        <is>
          <t>Closed-ended (worst case). 0 means the YP term alone exceeds the allowance - slow further, open-end the string, or raise the loss limit.</t>
        </is>
      </c>
    </row>
    <row r="126">
      <c r="A126" s="28" t="inlineStr">
        <is>
          <t>Frac or loss-limit EMW</t>
        </is>
      </c>
      <c r="B126" s="35" t="n">
        <v>10.2</v>
      </c>
      <c r="C126" s="30" t="inlineStr">
        <is>
          <t>ppg</t>
        </is>
      </c>
      <c r="D126" s="36">
        <f>IFERROR($B$126*119.8264,NA())</f>
        <v/>
      </c>
      <c r="E126" s="30" t="inlineStr">
        <is>
          <t>kg/m3</t>
        </is>
      </c>
    </row>
    <row r="127">
      <c r="A127" s="28" t="inlineStr">
        <is>
          <t>Fluid density (MW)</t>
        </is>
      </c>
      <c r="B127" s="35" t="n">
        <v>9</v>
      </c>
      <c r="C127" s="30" t="inlineStr">
        <is>
          <t>ppg</t>
        </is>
      </c>
      <c r="D127" s="36">
        <f>IFERROR($B$127*119.8264,NA())</f>
        <v/>
      </c>
      <c r="E127" s="30" t="inlineStr">
        <is>
          <t>kg/m3</t>
        </is>
      </c>
    </row>
    <row r="128">
      <c r="A128" s="28" t="inlineStr">
        <is>
          <t>TVD</t>
        </is>
      </c>
      <c r="B128" s="31" t="n">
        <v>9000</v>
      </c>
      <c r="C128" s="30" t="inlineStr">
        <is>
          <t>ft</t>
        </is>
      </c>
      <c r="D128" s="32">
        <f>IFERROR($B$128*0.3048,NA())</f>
        <v/>
      </c>
      <c r="E128" s="30" t="inlineStr">
        <is>
          <t>m</t>
        </is>
      </c>
    </row>
    <row r="129">
      <c r="A129" s="28" t="inlineStr">
        <is>
          <t>Casing ID (Dc)</t>
        </is>
      </c>
      <c r="B129" s="33" t="n">
        <v>8.680999999999999</v>
      </c>
      <c r="C129" s="30" t="inlineStr">
        <is>
          <t>in</t>
        </is>
      </c>
      <c r="D129" s="34">
        <f>IFERROR($B$129*25.4,NA())</f>
        <v/>
      </c>
      <c r="E129" s="30" t="inlineStr">
        <is>
          <t>mm</t>
        </is>
      </c>
    </row>
    <row r="130">
      <c r="A130" s="28" t="inlineStr">
        <is>
          <t>Tubing OD (Dp)</t>
        </is>
      </c>
      <c r="B130" s="33" t="n">
        <v>4.5</v>
      </c>
      <c r="C130" s="30" t="inlineStr">
        <is>
          <t>in</t>
        </is>
      </c>
      <c r="D130" s="34">
        <f>IFERROR($B$130*25.4,NA())</f>
        <v/>
      </c>
      <c r="E130" s="30" t="inlineStr">
        <is>
          <t>mm</t>
        </is>
      </c>
    </row>
    <row r="131">
      <c r="A131" s="28" t="inlineStr">
        <is>
          <t>Fluid plastic viscosity (PV)</t>
        </is>
      </c>
      <c r="B131" s="31" t="n">
        <v>15</v>
      </c>
      <c r="C131" s="30" t="inlineStr">
        <is>
          <t>cP</t>
        </is>
      </c>
      <c r="D131" s="32">
        <f>IFERROR($B$131*1.0,NA())</f>
        <v/>
      </c>
      <c r="E131" s="30" t="inlineStr">
        <is>
          <t>mPa-s</t>
        </is>
      </c>
    </row>
    <row r="132">
      <c r="A132" s="28" t="inlineStr">
        <is>
          <t>Fluid yield point (YP)</t>
        </is>
      </c>
      <c r="B132" s="31" t="n">
        <v>12</v>
      </c>
      <c r="C132" s="30" t="inlineStr"/>
      <c r="F132" s="27" t="inlineStr">
        <is>
          <t>lb/100ft2</t>
        </is>
      </c>
    </row>
    <row r="133">
      <c r="A133" s="28" t="inlineStr">
        <is>
          <t>Length below string shoe (L)</t>
        </is>
      </c>
      <c r="B133" s="31" t="n">
        <v>9000</v>
      </c>
      <c r="C133" s="30" t="inlineStr">
        <is>
          <t>ft</t>
        </is>
      </c>
      <c r="D133" s="32">
        <f>IFERROR($B$133*0.3048,NA())</f>
        <v/>
      </c>
      <c r="E133" s="30" t="inlineStr">
        <is>
          <t>m</t>
        </is>
      </c>
    </row>
    <row r="134">
      <c r="A134" s="28" t="inlineStr">
        <is>
          <t>Allowable surge pressure</t>
        </is>
      </c>
      <c r="B134" s="59">
        <f>($B$126-$B$127)*0.052*$B$128</f>
        <v/>
      </c>
      <c r="C134" s="30" t="inlineStr">
        <is>
          <t>psi</t>
        </is>
      </c>
      <c r="D134" s="32">
        <f>IFERROR($B$134*6.894757,NA())</f>
        <v/>
      </c>
      <c r="E134" s="30" t="inlineStr">
        <is>
          <t>kPa</t>
        </is>
      </c>
    </row>
    <row r="135">
      <c r="A135" s="28" t="inlineStr">
        <is>
          <t>Max running speed, closed-ended</t>
        </is>
      </c>
      <c r="B135" s="59">
        <f>MAX(0,($B$134-$B$133*$B$132/(200*($B$129-$B$130)))*60000*($B$129-$B$130)^2/($B$133*$B$131*(0.45+$B$130^2/($B$129^2-$B$130^2))))</f>
        <v/>
      </c>
      <c r="C135" s="30" t="inlineStr">
        <is>
          <t>ft/min</t>
        </is>
      </c>
      <c r="D135" s="32">
        <f>IFERROR($B$135*0.3048,NA())</f>
        <v/>
      </c>
      <c r="E135" s="30" t="inlineStr">
        <is>
          <t>m/min</t>
        </is>
      </c>
    </row>
  </sheetData>
  <sheetProtection selectLockedCells="0" selectUnlockedCells="0" sheet="1" objects="0" insertRows="1" insertHyperlinks="1" autoFilter="1" scenarios="0" formatColumns="0" deleteColumns="1" insertColumns="1" pivotTables="1" deleteRows="1" formatCells="1" formatRows="0" sort="1"/>
  <mergeCells count="7">
    <mergeCell ref="A2:F2"/>
    <mergeCell ref="A1:F1"/>
    <mergeCell ref="A6:F6"/>
    <mergeCell ref="A53:F53"/>
    <mergeCell ref="A104:F104"/>
    <mergeCell ref="A39:F39"/>
    <mergeCell ref="A95:F95"/>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26.xml><?xml version="1.0" encoding="utf-8"?>
<worksheet xmlns="http://schemas.openxmlformats.org/spreadsheetml/2006/main">
  <sheetPr>
    <tabColor rgb="00548235"/>
    <outlinePr summaryBelow="1" summaryRight="1"/>
    <pageSetUpPr/>
  </sheetPr>
  <dimension ref="A1:F125"/>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Tubing Stress Analysis - Load Cases &amp; Triaxial Check</t>
        </is>
      </c>
      <c r="B1" s="2" t="n"/>
      <c r="C1" s="2" t="n"/>
      <c r="D1" s="2" t="n"/>
      <c r="E1" s="2" t="n"/>
      <c r="F1" s="2" t="n"/>
    </row>
    <row r="2">
      <c r="A2" s="20" t="inlineStr">
        <is>
          <t>Axial load build-up, API uniaxial ratings, von Mises triaxial check at surface and packer, buckling screen, APB estimate</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Tubular &amp; String Data</t>
        </is>
      </c>
      <c r="B6" s="24" t="n"/>
      <c r="C6" s="24" t="n"/>
      <c r="D6" s="24" t="n"/>
      <c r="E6" s="24" t="n"/>
      <c r="F6" s="24" t="n"/>
    </row>
    <row r="8">
      <c r="A8" s="25" t="inlineStr">
        <is>
          <t>Tubing Geometry</t>
        </is>
      </c>
      <c r="B8" s="26" t="n"/>
      <c r="C8" s="26" t="n"/>
      <c r="D8" s="26" t="n"/>
      <c r="E8" s="26" t="n"/>
      <c r="F8" s="49" t="inlineStr">
        <is>
          <t>Ai = pi/4 x ID^2;  Ao = pi/4 x OD^2;  As = Ao - Ai</t>
        </is>
      </c>
    </row>
    <row r="9">
      <c r="A9" t="inlineStr"/>
      <c r="F9" s="27" t="inlineStr">
        <is>
          <t>Typical design factors (Bellarby): burst 1.1, collapse 1.0-1.1, axial 1.3, triaxial 1.25.</t>
        </is>
      </c>
    </row>
    <row r="10">
      <c r="A10" s="28" t="inlineStr">
        <is>
          <t>Tubing OD</t>
        </is>
      </c>
      <c r="B10" s="84">
        <f>WD_TbgOD</f>
        <v/>
      </c>
      <c r="C10" s="30" t="inlineStr">
        <is>
          <t>in</t>
        </is>
      </c>
      <c r="D10" s="34">
        <f>IFERROR($B$10*25.4,NA())</f>
        <v/>
      </c>
      <c r="E10" s="30" t="inlineStr">
        <is>
          <t>mm</t>
        </is>
      </c>
      <c r="F10" s="27" t="inlineStr">
        <is>
          <t>Linked to Well Data sheet - overwrite locally if this well differs.</t>
        </is>
      </c>
    </row>
    <row r="11">
      <c r="A11" s="28" t="inlineStr">
        <is>
          <t>Tubing ID</t>
        </is>
      </c>
      <c r="B11" s="84">
        <f>WD_TbgID</f>
        <v/>
      </c>
      <c r="C11" s="30" t="inlineStr">
        <is>
          <t>in</t>
        </is>
      </c>
      <c r="D11" s="34">
        <f>IFERROR($B$11*25.4,NA())</f>
        <v/>
      </c>
      <c r="E11" s="30" t="inlineStr">
        <is>
          <t>mm</t>
        </is>
      </c>
      <c r="F11" s="27" t="inlineStr">
        <is>
          <t>Linked to Well Data sheet - overwrite locally if this well differs.</t>
        </is>
      </c>
    </row>
    <row r="12">
      <c r="A12" s="28" t="inlineStr">
        <is>
          <t>Tubing weight</t>
        </is>
      </c>
      <c r="B12" s="41" t="n">
        <v>9.300000000000001</v>
      </c>
      <c r="C12" s="30" t="inlineStr">
        <is>
          <t>lb/ft</t>
        </is>
      </c>
      <c r="D12" s="42">
        <f>IFERROR($B$12*1.488164,NA())</f>
        <v/>
      </c>
      <c r="E12" s="30" t="inlineStr">
        <is>
          <t>kg/m</t>
        </is>
      </c>
    </row>
    <row r="13">
      <c r="A13" s="28" t="inlineStr">
        <is>
          <t>Pipe body yield strength (Yp)</t>
        </is>
      </c>
      <c r="B13" s="31" t="n">
        <v>80000</v>
      </c>
      <c r="C13" s="30" t="inlineStr">
        <is>
          <t>psi</t>
        </is>
      </c>
      <c r="D13" s="32">
        <f>IFERROR($B$13*6.894757,NA())</f>
        <v/>
      </c>
      <c r="E13" s="30" t="inlineStr">
        <is>
          <t>kPa</t>
        </is>
      </c>
      <c r="F13" s="27" t="inlineStr">
        <is>
          <t>L-80 default. Derate for temperature above ~250 degF.</t>
        </is>
      </c>
    </row>
    <row r="14">
      <c r="A14" s="28" t="inlineStr">
        <is>
          <t>Catalog collapse rating</t>
        </is>
      </c>
      <c r="B14" s="31" t="n">
        <v>10530</v>
      </c>
      <c r="C14" s="30" t="inlineStr">
        <is>
          <t>psi</t>
        </is>
      </c>
      <c r="D14" s="32">
        <f>IFERROR($B$14*6.894757,NA())</f>
        <v/>
      </c>
      <c r="E14" s="30" t="inlineStr">
        <is>
          <t>kPa</t>
        </is>
      </c>
      <c r="F14" s="27" t="inlineStr">
        <is>
          <t>API 5C3 value for the size/weight/grade (3-1/2 9.3# L-80 shown).</t>
        </is>
      </c>
    </row>
    <row r="15">
      <c r="A15" s="28" t="inlineStr">
        <is>
          <t>Bore area (Ai)</t>
        </is>
      </c>
      <c r="B15" s="58">
        <f>PI()/4*$B$11^2</f>
        <v/>
      </c>
      <c r="C15" s="30" t="inlineStr">
        <is>
          <t>in2</t>
        </is>
      </c>
      <c r="D15" s="39">
        <f>IFERROR($B$15*6.4516,NA())</f>
        <v/>
      </c>
      <c r="E15" s="30" t="inlineStr">
        <is>
          <t>cm2</t>
        </is>
      </c>
    </row>
    <row r="16">
      <c r="A16" s="28" t="inlineStr">
        <is>
          <t>Outer area (Ao)</t>
        </is>
      </c>
      <c r="B16" s="58">
        <f>PI()/4*$B$10^2</f>
        <v/>
      </c>
      <c r="C16" s="30" t="inlineStr">
        <is>
          <t>in2</t>
        </is>
      </c>
      <c r="D16" s="39">
        <f>IFERROR($B$16*6.4516,NA())</f>
        <v/>
      </c>
      <c r="E16" s="30" t="inlineStr">
        <is>
          <t>cm2</t>
        </is>
      </c>
    </row>
    <row r="17">
      <c r="A17" s="28" t="inlineStr">
        <is>
          <t>Steel cross-section (As)</t>
        </is>
      </c>
      <c r="B17" s="58">
        <f>$B$16-$B$15</f>
        <v/>
      </c>
      <c r="C17" s="30" t="inlineStr">
        <is>
          <t>in2</t>
        </is>
      </c>
      <c r="D17" s="39">
        <f>IFERROR($B$17*6.4516,NA())</f>
        <v/>
      </c>
      <c r="E17" s="30" t="inlineStr">
        <is>
          <t>cm2</t>
        </is>
      </c>
    </row>
    <row r="18">
      <c r="A18" s="28" t="inlineStr">
        <is>
          <t>Wall thickness</t>
        </is>
      </c>
      <c r="B18" s="50">
        <f>($B$10-$B$11)/2</f>
        <v/>
      </c>
      <c r="C18" s="30" t="inlineStr">
        <is>
          <t>in</t>
        </is>
      </c>
      <c r="D18" s="34">
        <f>IFERROR($B$18*25.4,NA())</f>
        <v/>
      </c>
      <c r="E18" s="30" t="inlineStr">
        <is>
          <t>mm</t>
        </is>
      </c>
    </row>
    <row r="20">
      <c r="A20" s="25" t="inlineStr">
        <is>
          <t>Packer &amp; Depth Data</t>
        </is>
      </c>
      <c r="B20" s="26" t="n"/>
      <c r="C20" s="26" t="n"/>
      <c r="D20" s="26" t="n"/>
      <c r="E20" s="26" t="n"/>
      <c r="F20" s="26" t="n"/>
    </row>
    <row r="21">
      <c r="A21" s="28" t="inlineStr">
        <is>
          <t>Packer depth (TVD)</t>
        </is>
      </c>
      <c r="B21" s="64">
        <f>WD_PerfTVD</f>
        <v/>
      </c>
      <c r="C21" s="30" t="inlineStr">
        <is>
          <t>ft</t>
        </is>
      </c>
      <c r="D21" s="32">
        <f>IFERROR($B$21*0.3048,NA())</f>
        <v/>
      </c>
      <c r="E21" s="30" t="inlineStr">
        <is>
          <t>m</t>
        </is>
      </c>
      <c r="F21" s="27" t="inlineStr">
        <is>
          <t>Packer assumed just above perfs; overwrite locally.</t>
        </is>
      </c>
    </row>
    <row r="22">
      <c r="A22" s="28" t="inlineStr">
        <is>
          <t>Seal bore diameter (packer)</t>
        </is>
      </c>
      <c r="B22" s="33" t="n">
        <v>3.25</v>
      </c>
      <c r="C22" s="30" t="inlineStr">
        <is>
          <t>in</t>
        </is>
      </c>
      <c r="D22" s="34">
        <f>IFERROR($B$22*25.4,NA())</f>
        <v/>
      </c>
      <c r="E22" s="30" t="inlineStr">
        <is>
          <t>mm</t>
        </is>
      </c>
    </row>
    <row r="23">
      <c r="A23" s="28" t="inlineStr">
        <is>
          <t>Seal bore area (Ap)</t>
        </is>
      </c>
      <c r="B23" s="58">
        <f>PI()/4*$B$22^2</f>
        <v/>
      </c>
      <c r="C23" s="30" t="inlineStr">
        <is>
          <t>in2</t>
        </is>
      </c>
      <c r="D23" s="39">
        <f>IFERROR($B$23*6.4516,NA())</f>
        <v/>
      </c>
      <c r="E23" s="30" t="inlineStr">
        <is>
          <t>cm2</t>
        </is>
      </c>
    </row>
    <row r="24">
      <c r="A24" s="28" t="inlineStr">
        <is>
          <t>String weight in air</t>
        </is>
      </c>
      <c r="B24" s="59">
        <f>$B$12*$B$21</f>
        <v/>
      </c>
      <c r="C24" s="30" t="inlineStr">
        <is>
          <t>lbf</t>
        </is>
      </c>
      <c r="D24" s="32">
        <f>IFERROR($B$24*0.004448222,NA())</f>
        <v/>
      </c>
      <c r="E24" s="30" t="inlineStr">
        <is>
          <t>kN</t>
        </is>
      </c>
    </row>
    <row r="26" ht="20" customHeight="1">
      <c r="A26" s="23" t="inlineStr">
        <is>
          <t>Load Cases (pressures at surface; gradients build the profiles)</t>
        </is>
      </c>
      <c r="B26" s="24" t="n"/>
      <c r="C26" s="24" t="n"/>
      <c r="D26" s="24" t="n"/>
      <c r="E26" s="24" t="n"/>
      <c r="F26" s="24" t="n"/>
    </row>
    <row r="28">
      <c r="A28" s="25" t="inlineStr">
        <is>
          <t>Initial / As-Landed Condition</t>
        </is>
      </c>
      <c r="B28" s="26" t="n"/>
      <c r="C28" s="26" t="n"/>
      <c r="D28" s="26" t="n"/>
      <c r="E28" s="26" t="n"/>
      <c r="F28" s="26" t="n"/>
    </row>
    <row r="29">
      <c r="A29" t="inlineStr"/>
      <c r="F29" s="27" t="inlineStr">
        <is>
          <t>Baseline the string was landed in - changes are measured from here.</t>
        </is>
      </c>
    </row>
    <row r="30">
      <c r="A30" s="28" t="inlineStr">
        <is>
          <t>Tubing surface pressure (initial)</t>
        </is>
      </c>
      <c r="B30" s="31" t="n">
        <v>0</v>
      </c>
      <c r="C30" s="30" t="inlineStr">
        <is>
          <t>psi</t>
        </is>
      </c>
      <c r="D30" s="32">
        <f>IFERROR($B$30*6.894757,NA())</f>
        <v/>
      </c>
      <c r="E30" s="30" t="inlineStr">
        <is>
          <t>kPa</t>
        </is>
      </c>
    </row>
    <row r="31">
      <c r="A31" s="28" t="inlineStr">
        <is>
          <t>Tubing fluid gradient (initial)</t>
        </is>
      </c>
      <c r="B31" s="33" t="n">
        <v>0.45</v>
      </c>
      <c r="C31" s="30" t="inlineStr">
        <is>
          <t>psi/ft</t>
        </is>
      </c>
      <c r="D31" s="34">
        <f>IFERROR($B$31*22.62059,NA())</f>
        <v/>
      </c>
      <c r="E31" s="30" t="inlineStr">
        <is>
          <t>kPa/m</t>
        </is>
      </c>
      <c r="F31" s="27" t="inlineStr">
        <is>
          <t>Packer/completion fluid at landing.</t>
        </is>
      </c>
    </row>
    <row r="32">
      <c r="A32" s="28" t="inlineStr">
        <is>
          <t>Annulus surface pressure (initial)</t>
        </is>
      </c>
      <c r="B32" s="31" t="n">
        <v>0</v>
      </c>
      <c r="C32" s="30" t="inlineStr">
        <is>
          <t>psi</t>
        </is>
      </c>
      <c r="D32" s="32">
        <f>IFERROR($B$32*6.894757,NA())</f>
        <v/>
      </c>
      <c r="E32" s="30" t="inlineStr">
        <is>
          <t>kPa</t>
        </is>
      </c>
    </row>
    <row r="33">
      <c r="A33" s="28" t="inlineStr">
        <is>
          <t>Annulus fluid gradient</t>
        </is>
      </c>
      <c r="B33" s="33" t="n">
        <v>0.45</v>
      </c>
      <c r="C33" s="30" t="inlineStr">
        <is>
          <t>psi/ft</t>
        </is>
      </c>
      <c r="D33" s="34">
        <f>IFERROR($B$33*22.62059,NA())</f>
        <v/>
      </c>
      <c r="E33" s="30" t="inlineStr">
        <is>
          <t>kPa/m</t>
        </is>
      </c>
    </row>
    <row r="35">
      <c r="A35" s="25" t="inlineStr">
        <is>
          <t>Case A - Hot Production (shut-in tubing head, flowing temps)</t>
        </is>
      </c>
      <c r="B35" s="26" t="n"/>
      <c r="C35" s="26" t="n"/>
      <c r="D35" s="26" t="n"/>
      <c r="E35" s="26" t="n"/>
      <c r="F35" s="26" t="n"/>
    </row>
    <row r="36">
      <c r="A36" s="28" t="inlineStr">
        <is>
          <t>Tubing surface pressure (A)</t>
        </is>
      </c>
      <c r="B36" s="31" t="n">
        <v>3000</v>
      </c>
      <c r="C36" s="30" t="inlineStr">
        <is>
          <t>psi</t>
        </is>
      </c>
      <c r="D36" s="32">
        <f>IFERROR($B$36*6.894757,NA())</f>
        <v/>
      </c>
      <c r="E36" s="30" t="inlineStr">
        <is>
          <t>kPa</t>
        </is>
      </c>
      <c r="F36" s="27" t="inlineStr">
        <is>
          <t>SITP for gas well shut-in is often the worst burst-at-surface case.</t>
        </is>
      </c>
    </row>
    <row r="37">
      <c r="A37" s="28" t="inlineStr">
        <is>
          <t>Tubing fluid gradient (A)</t>
        </is>
      </c>
      <c r="B37" s="33" t="n">
        <v>0.1</v>
      </c>
      <c r="C37" s="30" t="inlineStr">
        <is>
          <t>psi/ft</t>
        </is>
      </c>
      <c r="D37" s="34">
        <f>IFERROR($B$37*22.62059,NA())</f>
        <v/>
      </c>
      <c r="E37" s="30" t="inlineStr">
        <is>
          <t>kPa/m</t>
        </is>
      </c>
      <c r="F37" s="27" t="inlineStr">
        <is>
          <t>Gas gradient when shut in on gas.</t>
        </is>
      </c>
    </row>
    <row r="38">
      <c r="A38" s="28" t="inlineStr">
        <is>
          <t>Average string temp change (A)</t>
        </is>
      </c>
      <c r="B38" s="117" t="n">
        <v>80</v>
      </c>
      <c r="C38" s="30" t="inlineStr"/>
      <c r="F38" s="27" t="inlineStr">
        <is>
          <t>degF, heating positive (production warms the string).</t>
        </is>
      </c>
    </row>
    <row r="40">
      <c r="A40" s="25" t="inlineStr">
        <is>
          <t>Case B - Cold Injection / Stimulation</t>
        </is>
      </c>
      <c r="B40" s="26" t="n"/>
      <c r="C40" s="26" t="n"/>
      <c r="D40" s="26" t="n"/>
      <c r="E40" s="26" t="n"/>
      <c r="F40" s="26" t="n"/>
    </row>
    <row r="41">
      <c r="A41" s="28" t="inlineStr">
        <is>
          <t>Tubing surface pressure (B)</t>
        </is>
      </c>
      <c r="B41" s="31" t="n">
        <v>6500</v>
      </c>
      <c r="C41" s="30" t="inlineStr">
        <is>
          <t>psi</t>
        </is>
      </c>
      <c r="D41" s="32">
        <f>IFERROR($B$41*6.894757,NA())</f>
        <v/>
      </c>
      <c r="E41" s="30" t="inlineStr">
        <is>
          <t>kPa</t>
        </is>
      </c>
    </row>
    <row r="42">
      <c r="A42" s="28" t="inlineStr">
        <is>
          <t>Tubing fluid gradient (B)</t>
        </is>
      </c>
      <c r="B42" s="33" t="n">
        <v>0.465</v>
      </c>
      <c r="C42" s="30" t="inlineStr">
        <is>
          <t>psi/ft</t>
        </is>
      </c>
      <c r="D42" s="34">
        <f>IFERROR($B$42*22.62059,NA())</f>
        <v/>
      </c>
      <c r="E42" s="30" t="inlineStr">
        <is>
          <t>kPa/m</t>
        </is>
      </c>
    </row>
    <row r="43">
      <c r="A43" s="28" t="inlineStr">
        <is>
          <t>Average string temp change (B)</t>
        </is>
      </c>
      <c r="B43" s="117" t="n">
        <v>-60</v>
      </c>
      <c r="C43" s="30" t="inlineStr"/>
      <c r="F43" s="27" t="inlineStr">
        <is>
          <t>degF, cooling negative (injection cools the string).</t>
        </is>
      </c>
    </row>
    <row r="45">
      <c r="A45" s="25" t="inlineStr">
        <is>
          <t>Pressures at the Packer</t>
        </is>
      </c>
      <c r="B45" s="26" t="n"/>
      <c r="C45" s="26" t="n"/>
      <c r="D45" s="26" t="n"/>
      <c r="E45" s="26" t="n"/>
      <c r="F45" s="49" t="inlineStr">
        <is>
          <t>P(packer) = P(surface) + gradient x TVD</t>
        </is>
      </c>
    </row>
    <row r="46">
      <c r="A46" s="28" t="inlineStr">
        <is>
          <t>Initial tubing P at packer</t>
        </is>
      </c>
      <c r="B46" s="59">
        <f>$B$30+$B$31*$B$21</f>
        <v/>
      </c>
      <c r="C46" s="30" t="inlineStr">
        <is>
          <t>psi</t>
        </is>
      </c>
      <c r="D46" s="32">
        <f>IFERROR($B$46*6.894757,NA())</f>
        <v/>
      </c>
      <c r="E46" s="30" t="inlineStr">
        <is>
          <t>kPa</t>
        </is>
      </c>
    </row>
    <row r="47">
      <c r="A47" s="28" t="inlineStr">
        <is>
          <t>Annulus P at packer</t>
        </is>
      </c>
      <c r="B47" s="59">
        <f>$B$32+$B$33*$B$21</f>
        <v/>
      </c>
      <c r="C47" s="30" t="inlineStr">
        <is>
          <t>psi</t>
        </is>
      </c>
      <c r="D47" s="32">
        <f>IFERROR($B$47*6.894757,NA())</f>
        <v/>
      </c>
      <c r="E47" s="30" t="inlineStr">
        <is>
          <t>kPa</t>
        </is>
      </c>
    </row>
    <row r="48">
      <c r="A48" s="28" t="inlineStr">
        <is>
          <t>Case A tubing P at packer</t>
        </is>
      </c>
      <c r="B48" s="59">
        <f>$B$36+$B$37*$B$21</f>
        <v/>
      </c>
      <c r="C48" s="30" t="inlineStr">
        <is>
          <t>psi</t>
        </is>
      </c>
      <c r="D48" s="32">
        <f>IFERROR($B$48*6.894757,NA())</f>
        <v/>
      </c>
      <c r="E48" s="30" t="inlineStr">
        <is>
          <t>kPa</t>
        </is>
      </c>
    </row>
    <row r="49">
      <c r="A49" s="28" t="inlineStr">
        <is>
          <t>Case B tubing P at packer</t>
        </is>
      </c>
      <c r="B49" s="59">
        <f>$B$41+$B$42*$B$21</f>
        <v/>
      </c>
      <c r="C49" s="30" t="inlineStr">
        <is>
          <t>psi</t>
        </is>
      </c>
      <c r="D49" s="32">
        <f>IFERROR($B$49*6.894757,NA())</f>
        <v/>
      </c>
      <c r="E49" s="30" t="inlineStr">
        <is>
          <t>kPa</t>
        </is>
      </c>
    </row>
    <row r="51" ht="20" customHeight="1">
      <c r="A51" s="23" t="inlineStr">
        <is>
          <t>Axial Load Build-Up (latched to packer; tension positive)</t>
        </is>
      </c>
      <c r="B51" s="24" t="n"/>
      <c r="C51" s="24" t="n"/>
      <c r="D51" s="24" t="n"/>
      <c r="E51" s="24" t="n"/>
      <c r="F51" s="24" t="n"/>
    </row>
    <row r="53">
      <c r="A53" s="25" t="inlineStr">
        <is>
          <t>Load Changes from Initial - Case A</t>
        </is>
      </c>
      <c r="B53" s="26" t="n"/>
      <c r="C53" s="26" t="n"/>
      <c r="D53" s="26" t="n"/>
      <c r="E53" s="26" t="n"/>
      <c r="F53" s="49" t="inlineStr">
        <is>
          <t>dF_piston = -dPi(pkr) x (Ap - Ai) + dPo(pkr) x (Ap - Ao);  dF_balloon = 0.6 x (dPi_avg x Ai - dPo_avg x Ao);  dF_thermal = -207 x As x dT</t>
        </is>
      </c>
    </row>
    <row r="54">
      <c r="A54" t="inlineStr"/>
      <c r="F54" s="27" t="inlineStr">
        <is>
          <t>Latched string: length changes are prevented, so each effect appears as force. 207 = E x alpha for steel (30e6 x 6.9e-6). Piston uses pressure changes at the packer; ballooning uses average-over-length changes (surface+packer)/2.</t>
        </is>
      </c>
    </row>
    <row r="55">
      <c r="A55" s="28" t="inlineStr">
        <is>
          <t>Piston force change (A)</t>
        </is>
      </c>
      <c r="B55" s="59">
        <f>-($B$48-$B$46)*($B$23-$B$15)+0*($B$23-$B$16)</f>
        <v/>
      </c>
      <c r="C55" s="30" t="inlineStr">
        <is>
          <t>lbf</t>
        </is>
      </c>
      <c r="D55" s="32">
        <f>IFERROR($B$55*0.004448222,NA())</f>
        <v/>
      </c>
      <c r="E55" s="30" t="inlineStr">
        <is>
          <t>kN</t>
        </is>
      </c>
      <c r="F55" s="27" t="inlineStr">
        <is>
          <t>Annulus pressure unchanged from initial in this case.</t>
        </is>
      </c>
    </row>
    <row r="56">
      <c r="A56" s="28" t="inlineStr">
        <is>
          <t>Ballooning force change (A)</t>
        </is>
      </c>
      <c r="B56" s="59">
        <f>0.6*((($B$36+$B$48)/2-($B$30+$B$46)/2)*$B$15-0*$B$16)</f>
        <v/>
      </c>
      <c r="C56" s="30" t="inlineStr">
        <is>
          <t>lbf</t>
        </is>
      </c>
      <c r="D56" s="32">
        <f>IFERROR($B$56*0.004448222,NA())</f>
        <v/>
      </c>
      <c r="E56" s="30" t="inlineStr">
        <is>
          <t>kN</t>
        </is>
      </c>
    </row>
    <row r="57">
      <c r="A57" s="28" t="inlineStr">
        <is>
          <t>Thermal force change (A)</t>
        </is>
      </c>
      <c r="B57" s="59">
        <f>-207*$B$17*$B$38</f>
        <v/>
      </c>
      <c r="C57" s="30" t="inlineStr">
        <is>
          <t>lbf</t>
        </is>
      </c>
      <c r="D57" s="32">
        <f>IFERROR($B$57*0.004448222,NA())</f>
        <v/>
      </c>
      <c r="E57" s="30" t="inlineStr">
        <is>
          <t>kN</t>
        </is>
      </c>
    </row>
    <row r="59">
      <c r="A59" s="25" t="inlineStr">
        <is>
          <t>Axial Profile - Case A</t>
        </is>
      </c>
      <c r="B59" s="26" t="n"/>
      <c r="C59" s="26" t="n"/>
      <c r="D59" s="26" t="n"/>
      <c r="E59" s="26" t="n"/>
      <c r="F59" s="49" t="inlineStr">
        <is>
          <t>F(surface) = W_air - Pi0(pkr) x (Ap - Ai) + Po(pkr) x (Ap - Ao) + sum(dF);  F(packer) = F(surface) - W_air</t>
        </is>
      </c>
    </row>
    <row r="60">
      <c r="A60" t="inlineStr"/>
      <c r="F60" s="27" t="inlineStr">
        <is>
          <t>Initial surface tension = hanging weight with the initial packer-bore piston terms; case loads add the deltas.</t>
        </is>
      </c>
    </row>
    <row r="61">
      <c r="A61" s="28" t="inlineStr">
        <is>
          <t>Initial surface tension</t>
        </is>
      </c>
      <c r="B61" s="59">
        <f>$B$24-$B$46*($B$23-$B$15)+$B$47*($B$23-$B$16)</f>
        <v/>
      </c>
      <c r="C61" s="30" t="inlineStr">
        <is>
          <t>lbf</t>
        </is>
      </c>
      <c r="D61" s="32">
        <f>IFERROR($B$61*0.004448222,NA())</f>
        <v/>
      </c>
      <c r="E61" s="30" t="inlineStr">
        <is>
          <t>kN</t>
        </is>
      </c>
    </row>
    <row r="62">
      <c r="A62" s="28" t="inlineStr">
        <is>
          <t>Case A surface tension</t>
        </is>
      </c>
      <c r="B62" s="59">
        <f>$B$61+$B$55+$B$56+$B$57</f>
        <v/>
      </c>
      <c r="C62" s="30" t="inlineStr">
        <is>
          <t>lbf</t>
        </is>
      </c>
      <c r="D62" s="32">
        <f>IFERROR($B$62*0.004448222,NA())</f>
        <v/>
      </c>
      <c r="E62" s="30" t="inlineStr">
        <is>
          <t>kN</t>
        </is>
      </c>
    </row>
    <row r="63">
      <c r="A63" s="28" t="inlineStr">
        <is>
          <t>Case A tension at packer</t>
        </is>
      </c>
      <c r="B63" s="59">
        <f>$B$62-$B$24</f>
        <v/>
      </c>
      <c r="C63" s="30" t="inlineStr">
        <is>
          <t>lbf</t>
        </is>
      </c>
      <c r="D63" s="32">
        <f>IFERROR($B$63*0.004448222,NA())</f>
        <v/>
      </c>
      <c r="E63" s="30" t="inlineStr">
        <is>
          <t>kN</t>
        </is>
      </c>
      <c r="F63" s="27" t="inlineStr">
        <is>
          <t>Negative = compression into the packer.</t>
        </is>
      </c>
    </row>
    <row r="65">
      <c r="A65" s="25" t="inlineStr">
        <is>
          <t>Load Changes from Initial - Case B (same construction)</t>
        </is>
      </c>
      <c r="B65" s="26" t="n"/>
      <c r="C65" s="26" t="n"/>
      <c r="D65" s="26" t="n"/>
      <c r="E65" s="26" t="n"/>
      <c r="F65" s="26" t="n"/>
    </row>
    <row r="66">
      <c r="A66" s="28" t="inlineStr">
        <is>
          <t>Piston force change (B)</t>
        </is>
      </c>
      <c r="B66" s="59">
        <f>-($B$49-$B$46)*($B$23-$B$15)</f>
        <v/>
      </c>
      <c r="C66" s="30" t="inlineStr">
        <is>
          <t>lbf</t>
        </is>
      </c>
      <c r="D66" s="32">
        <f>IFERROR($B$66*0.004448222,NA())</f>
        <v/>
      </c>
      <c r="E66" s="30" t="inlineStr">
        <is>
          <t>kN</t>
        </is>
      </c>
    </row>
    <row r="67">
      <c r="A67" s="28" t="inlineStr">
        <is>
          <t>Ballooning force change (B)</t>
        </is>
      </c>
      <c r="B67" s="59">
        <f>0.6*((($B$41+$B$49)/2-($B$30+$B$46)/2)*$B$15)</f>
        <v/>
      </c>
      <c r="C67" s="30" t="inlineStr">
        <is>
          <t>lbf</t>
        </is>
      </c>
      <c r="D67" s="32">
        <f>IFERROR($B$67*0.004448222,NA())</f>
        <v/>
      </c>
      <c r="E67" s="30" t="inlineStr">
        <is>
          <t>kN</t>
        </is>
      </c>
    </row>
    <row r="68">
      <c r="A68" s="28" t="inlineStr">
        <is>
          <t>Thermal force change (B)</t>
        </is>
      </c>
      <c r="B68" s="59">
        <f>-207*$B$17*$B$43</f>
        <v/>
      </c>
      <c r="C68" s="30" t="inlineStr">
        <is>
          <t>lbf</t>
        </is>
      </c>
      <c r="D68" s="32">
        <f>IFERROR($B$68*0.004448222,NA())</f>
        <v/>
      </c>
      <c r="E68" s="30" t="inlineStr">
        <is>
          <t>kN</t>
        </is>
      </c>
    </row>
    <row r="69">
      <c r="A69" s="28" t="inlineStr">
        <is>
          <t>Case B surface tension</t>
        </is>
      </c>
      <c r="B69" s="59">
        <f>$B$61+$B$66+$B$67+$B$68</f>
        <v/>
      </c>
      <c r="C69" s="30" t="inlineStr">
        <is>
          <t>lbf</t>
        </is>
      </c>
      <c r="D69" s="32">
        <f>IFERROR($B$69*0.004448222,NA())</f>
        <v/>
      </c>
      <c r="E69" s="30" t="inlineStr">
        <is>
          <t>kN</t>
        </is>
      </c>
    </row>
    <row r="70">
      <c r="A70" s="28" t="inlineStr">
        <is>
          <t>Case B tension at packer</t>
        </is>
      </c>
      <c r="B70" s="59">
        <f>$B$69-$B$24</f>
        <v/>
      </c>
      <c r="C70" s="30" t="inlineStr">
        <is>
          <t>lbf</t>
        </is>
      </c>
      <c r="D70" s="32">
        <f>IFERROR($B$70*0.004448222,NA())</f>
        <v/>
      </c>
      <c r="E70" s="30" t="inlineStr">
        <is>
          <t>kN</t>
        </is>
      </c>
    </row>
    <row r="72" ht="20" customHeight="1">
      <c r="A72" s="23" t="inlineStr">
        <is>
          <t>API Uniaxial Checks</t>
        </is>
      </c>
      <c r="B72" s="24" t="n"/>
      <c r="C72" s="24" t="n"/>
      <c r="D72" s="24" t="n"/>
      <c r="E72" s="24" t="n"/>
      <c r="F72" s="24" t="n"/>
    </row>
    <row r="74">
      <c r="A74" s="25" t="inlineStr">
        <is>
          <t>Ratings &amp; Utilisation</t>
        </is>
      </c>
      <c r="B74" s="26" t="n"/>
      <c r="C74" s="26" t="n"/>
      <c r="D74" s="26" t="n"/>
      <c r="E74" s="26" t="n"/>
      <c r="F74" s="49" t="inlineStr">
        <is>
          <t>Burst (Barlow, 87.5% wall) = 0.875 x 2 x Yp x t/OD;  Axial = Yp x As</t>
        </is>
      </c>
    </row>
    <row r="75">
      <c r="A75" t="inlineStr"/>
      <c r="F75" s="27" t="inlineStr">
        <is>
          <t>Typical design factors (Bellarby): burst 1.1, collapse 1.0-1.1, axial 1.3, triaxial 1.25.</t>
        </is>
      </c>
    </row>
    <row r="76">
      <c r="A76" s="28" t="inlineStr">
        <is>
          <t>Burst rating (API wall tolerance)</t>
        </is>
      </c>
      <c r="B76" s="59">
        <f>0.875*2*$B$13*$B$18/$B$10</f>
        <v/>
      </c>
      <c r="C76" s="30" t="inlineStr">
        <is>
          <t>psi</t>
        </is>
      </c>
      <c r="D76" s="32">
        <f>IFERROR($B$76*6.894757,NA())</f>
        <v/>
      </c>
      <c r="E76" s="30" t="inlineStr">
        <is>
          <t>kPa</t>
        </is>
      </c>
    </row>
    <row r="77">
      <c r="A77" s="28" t="inlineStr">
        <is>
          <t>Burst design factor</t>
        </is>
      </c>
      <c r="B77" s="41" t="n">
        <v>1.1</v>
      </c>
      <c r="C77" s="30" t="inlineStr"/>
    </row>
    <row r="78">
      <c r="A78" s="28" t="inlineStr">
        <is>
          <t>Collapse design factor</t>
        </is>
      </c>
      <c r="B78" s="41" t="n">
        <v>1</v>
      </c>
      <c r="C78" s="30" t="inlineStr"/>
    </row>
    <row r="79">
      <c r="A79" s="28" t="inlineStr">
        <is>
          <t>Axial design factor</t>
        </is>
      </c>
      <c r="B79" s="41" t="n">
        <v>1.3</v>
      </c>
      <c r="C79" s="30" t="inlineStr"/>
    </row>
    <row r="80">
      <c r="A80" s="28" t="inlineStr">
        <is>
          <t>Allowable burst differential</t>
        </is>
      </c>
      <c r="B80" s="59">
        <f>$B$76/$B$77</f>
        <v/>
      </c>
      <c r="C80" s="30" t="inlineStr">
        <is>
          <t>psi</t>
        </is>
      </c>
      <c r="D80" s="32">
        <f>IFERROR($B$80*6.894757,NA())</f>
        <v/>
      </c>
      <c r="E80" s="30" t="inlineStr">
        <is>
          <t>kPa</t>
        </is>
      </c>
    </row>
    <row r="81">
      <c r="A81" s="28" t="inlineStr">
        <is>
          <t>Max burst differential (worst case, surface B)</t>
        </is>
      </c>
      <c r="B81" s="59">
        <f>MAX($B$36-$B$32,$B$41-$B$32)</f>
        <v/>
      </c>
      <c r="C81" s="30" t="inlineStr">
        <is>
          <t>psi</t>
        </is>
      </c>
      <c r="D81" s="32">
        <f>IFERROR($B$81*6.894757,NA())</f>
        <v/>
      </c>
      <c r="E81" s="30" t="inlineStr">
        <is>
          <t>kPa</t>
        </is>
      </c>
    </row>
    <row r="82">
      <c r="A82" s="28" t="inlineStr">
        <is>
          <t>Burst status</t>
        </is>
      </c>
      <c r="B82" s="72">
        <f>IF($B$81&lt;=$B$76/$B$77,"OK - burst within design factor",IF($B$81&lt;=$B$76,"MARGINAL - inside rating but below design factor","CHECK: EXCEEDS burst rating"))</f>
        <v/>
      </c>
      <c r="C82" s="30" t="inlineStr"/>
    </row>
    <row r="83">
      <c r="A83" s="28" t="inlineStr">
        <is>
          <t>Max collapse differential (evacuated tubing)</t>
        </is>
      </c>
      <c r="B83" s="59">
        <f>$B$47-0</f>
        <v/>
      </c>
      <c r="C83" s="30" t="inlineStr">
        <is>
          <t>psi</t>
        </is>
      </c>
      <c r="D83" s="32">
        <f>IFERROR($B$83*6.894757,NA())</f>
        <v/>
      </c>
      <c r="E83" s="30" t="inlineStr">
        <is>
          <t>kPa</t>
        </is>
      </c>
      <c r="F83" s="27" t="inlineStr">
        <is>
          <t>Full evacuation against packer-fluid annulus - classic gas-lift/blowdown collapse case.</t>
        </is>
      </c>
    </row>
    <row r="84">
      <c r="A84" s="28" t="inlineStr">
        <is>
          <t>Collapse status</t>
        </is>
      </c>
      <c r="B84" s="72">
        <f>IF($B$83&lt;=$B$14/$B$78,"OK - collapse within design factor","CHECK: EXCEEDS collapse allowable - heavier wall or higher grade")</f>
        <v/>
      </c>
      <c r="C84" s="30" t="inlineStr"/>
    </row>
    <row r="85">
      <c r="A85" s="28" t="inlineStr">
        <is>
          <t>Max axial tension (all cases, surface)</t>
        </is>
      </c>
      <c r="B85" s="59">
        <f>MAX($B$61,$B$62,$B$69)</f>
        <v/>
      </c>
      <c r="C85" s="30" t="inlineStr">
        <is>
          <t>lbf</t>
        </is>
      </c>
      <c r="D85" s="32">
        <f>IFERROR($B$85*0.004448222,NA())</f>
        <v/>
      </c>
      <c r="E85" s="30" t="inlineStr">
        <is>
          <t>kN</t>
        </is>
      </c>
    </row>
    <row r="86">
      <c r="A86" s="28" t="inlineStr">
        <is>
          <t>Axial status</t>
        </is>
      </c>
      <c r="B86" s="72">
        <f>IF($B$85&lt;=$B$13*$B$17/$B$79,"OK - axial within design factor","CHECK: EXCEEDS axial allowable - higher grade or heavier string")</f>
        <v/>
      </c>
      <c r="C86" s="30" t="inlineStr"/>
    </row>
    <row r="88" ht="20" customHeight="1">
      <c r="A88" s="23" t="inlineStr">
        <is>
          <t>Triaxial von Mises (Lame, at tubing ID)</t>
        </is>
      </c>
      <c r="B88" s="24" t="n"/>
      <c r="C88" s="24" t="n"/>
      <c r="D88" s="24" t="n"/>
      <c r="E88" s="24" t="n"/>
      <c r="F88" s="24" t="n"/>
    </row>
    <row r="90">
      <c r="A90" s="25" t="inlineStr">
        <is>
          <t>Case A at Packer</t>
        </is>
      </c>
      <c r="B90" s="26" t="n"/>
      <c r="C90" s="26" t="n"/>
      <c r="D90" s="26" t="n"/>
      <c r="E90" s="26" t="n"/>
      <c r="F90" s="49" t="inlineStr">
        <is>
          <t>sig_h = (Pi x (ro^2+ri^2) - 2 x Po x ro^2)/(ro^2-ri^2);  sig_r = -Pi;  sig_a = F/As;  VME = sqrt(((sa-sh)^2+(sh-sr)^2+(sr-sa)^2)/2)</t>
        </is>
      </c>
    </row>
    <row r="91">
      <c r="A91" t="inlineStr"/>
      <c r="F91" s="27" t="inlineStr">
        <is>
          <t>ID face is normally the governing location. Bending from dogleg excluded - add sig_b = 218 x DLS x OD for curved hole screening.</t>
        </is>
      </c>
    </row>
    <row r="92">
      <c r="A92" s="28" t="inlineStr">
        <is>
          <t>Hoop stress (A, packer)</t>
        </is>
      </c>
      <c r="B92" s="59">
        <f>($B$48*(($B$10/2)^2+($B$11/2)^2)-2*$B$47*($B$10/2)^2)/(($B$10/2)^2-($B$11/2)^2)</f>
        <v/>
      </c>
      <c r="C92" s="30" t="inlineStr">
        <is>
          <t>psi</t>
        </is>
      </c>
      <c r="D92" s="32">
        <f>IFERROR($B$92*6.894757,NA())</f>
        <v/>
      </c>
      <c r="E92" s="30" t="inlineStr">
        <is>
          <t>kPa</t>
        </is>
      </c>
    </row>
    <row r="93">
      <c r="A93" s="28" t="inlineStr">
        <is>
          <t>Radial stress (A, packer)</t>
        </is>
      </c>
      <c r="B93" s="59">
        <f>-$B$48</f>
        <v/>
      </c>
      <c r="C93" s="30" t="inlineStr">
        <is>
          <t>psi</t>
        </is>
      </c>
      <c r="D93" s="32">
        <f>IFERROR($B$93*6.894757,NA())</f>
        <v/>
      </c>
      <c r="E93" s="30" t="inlineStr">
        <is>
          <t>kPa</t>
        </is>
      </c>
    </row>
    <row r="94">
      <c r="A94" s="28" t="inlineStr">
        <is>
          <t>Axial stress (A, packer)</t>
        </is>
      </c>
      <c r="B94" s="59">
        <f>$B$63/$B$17</f>
        <v/>
      </c>
      <c r="C94" s="30" t="inlineStr">
        <is>
          <t>psi</t>
        </is>
      </c>
      <c r="D94" s="32">
        <f>IFERROR($B$94*6.894757,NA())</f>
        <v/>
      </c>
      <c r="E94" s="30" t="inlineStr">
        <is>
          <t>kPa</t>
        </is>
      </c>
    </row>
    <row r="95">
      <c r="A95" s="28" t="inlineStr">
        <is>
          <t>von Mises equivalent (A, packer)</t>
        </is>
      </c>
      <c r="B95" s="59">
        <f>SQRT((($B$94-$B$92)^2+($B$92-$B$93)^2+($B$93-$B$94)^2)/2)</f>
        <v/>
      </c>
      <c r="C95" s="30" t="inlineStr">
        <is>
          <t>psi</t>
        </is>
      </c>
      <c r="D95" s="32">
        <f>IFERROR($B$95*6.894757,NA())</f>
        <v/>
      </c>
      <c r="E95" s="30" t="inlineStr">
        <is>
          <t>kPa</t>
        </is>
      </c>
    </row>
    <row r="96">
      <c r="A96" s="28" t="inlineStr">
        <is>
          <t>Triaxial design factor</t>
        </is>
      </c>
      <c r="B96" s="41" t="n">
        <v>1.25</v>
      </c>
      <c r="C96" s="30" t="inlineStr"/>
    </row>
    <row r="97">
      <c r="A97" s="28" t="inlineStr">
        <is>
          <t>Triaxial status (A)</t>
        </is>
      </c>
      <c r="B97" s="72">
        <f>IF($B$95&lt;=$B$13/$B$96,"OK - triaxial SF met",IF($B$95&lt;=$B$13,"MARGINAL - below yield but under design factor","CHECK: EXCEEDS yield - redesign"))</f>
        <v/>
      </c>
      <c r="C97" s="30" t="inlineStr"/>
    </row>
    <row r="99">
      <c r="A99" s="25" t="inlineStr">
        <is>
          <t>Case B at Surface (cold, high internal pressure)</t>
        </is>
      </c>
      <c r="B99" s="26" t="n"/>
      <c r="C99" s="26" t="n"/>
      <c r="D99" s="26" t="n"/>
      <c r="E99" s="26" t="n"/>
      <c r="F99" s="26" t="n"/>
    </row>
    <row r="100">
      <c r="A100" s="28" t="inlineStr">
        <is>
          <t>Hoop stress (B, surface)</t>
        </is>
      </c>
      <c r="B100" s="59">
        <f>($B$41*(($B$10/2)^2+($B$11/2)^2)-2*$B$32*($B$10/2)^2)/(($B$10/2)^2-($B$11/2)^2)</f>
        <v/>
      </c>
      <c r="C100" s="30" t="inlineStr">
        <is>
          <t>psi</t>
        </is>
      </c>
      <c r="D100" s="32">
        <f>IFERROR($B$100*6.894757,NA())</f>
        <v/>
      </c>
      <c r="E100" s="30" t="inlineStr">
        <is>
          <t>kPa</t>
        </is>
      </c>
    </row>
    <row r="101">
      <c r="A101" s="28" t="inlineStr">
        <is>
          <t>Radial stress (B, surface)</t>
        </is>
      </c>
      <c r="B101" s="59">
        <f>-$B$41</f>
        <v/>
      </c>
      <c r="C101" s="30" t="inlineStr">
        <is>
          <t>psi</t>
        </is>
      </c>
      <c r="D101" s="32">
        <f>IFERROR($B$101*6.894757,NA())</f>
        <v/>
      </c>
      <c r="E101" s="30" t="inlineStr">
        <is>
          <t>kPa</t>
        </is>
      </c>
    </row>
    <row r="102">
      <c r="A102" s="28" t="inlineStr">
        <is>
          <t>Axial stress (B, surface)</t>
        </is>
      </c>
      <c r="B102" s="59">
        <f>$B$69/$B$17</f>
        <v/>
      </c>
      <c r="C102" s="30" t="inlineStr">
        <is>
          <t>psi</t>
        </is>
      </c>
      <c r="D102" s="32">
        <f>IFERROR($B$102*6.894757,NA())</f>
        <v/>
      </c>
      <c r="E102" s="30" t="inlineStr">
        <is>
          <t>kPa</t>
        </is>
      </c>
    </row>
    <row r="103">
      <c r="A103" s="28" t="inlineStr">
        <is>
          <t>von Mises equivalent (B, surface)</t>
        </is>
      </c>
      <c r="B103" s="59">
        <f>SQRT((($B$102-$B$100)^2+($B$100-$B$101)^2+($B$101-$B$102)^2)/2)</f>
        <v/>
      </c>
      <c r="C103" s="30" t="inlineStr">
        <is>
          <t>psi</t>
        </is>
      </c>
      <c r="D103" s="32">
        <f>IFERROR($B$103*6.894757,NA())</f>
        <v/>
      </c>
      <c r="E103" s="30" t="inlineStr">
        <is>
          <t>kPa</t>
        </is>
      </c>
    </row>
    <row r="104">
      <c r="A104" s="28" t="inlineStr">
        <is>
          <t>Triaxial status (B)</t>
        </is>
      </c>
      <c r="B104" s="72">
        <f>IF($B$103&lt;=$B$13/$B$96,"OK - triaxial SF met",IF($B$103&lt;=$B$13,"MARGINAL - below yield but under design factor","CHECK: EXCEEDS yield - redesign"))</f>
        <v/>
      </c>
      <c r="C104" s="30" t="inlineStr"/>
    </row>
    <row r="106" ht="20" customHeight="1">
      <c r="A106" s="23" t="inlineStr">
        <is>
          <t>Buckling Screen &amp; Annulus Pressure Build-Up</t>
        </is>
      </c>
      <c r="B106" s="24" t="n"/>
      <c r="C106" s="24" t="n"/>
      <c r="D106" s="24" t="n"/>
      <c r="E106" s="24" t="n"/>
      <c r="F106" s="24" t="n"/>
    </row>
    <row r="108">
      <c r="A108" s="25" t="inlineStr">
        <is>
          <t>Paslay-Dawson Buckling at the Packer</t>
        </is>
      </c>
      <c r="B108" s="26" t="n"/>
      <c r="C108" s="26" t="n"/>
      <c r="D108" s="26" t="n"/>
      <c r="E108" s="26" t="n"/>
      <c r="F108" s="49" t="inlineStr">
        <is>
          <t>F_sin = 2 x sqrt(E x I x w_b x sin(inc)/r);  F_hel = 2.83 x sqrt(...)</t>
        </is>
      </c>
    </row>
    <row r="109">
      <c r="A109" t="inlineStr"/>
      <c r="F109" s="27" t="inlineStr">
        <is>
          <t>Compression at the packer (negative tension above) is screened against the sinusoidal/helical onsets. 3-deg inclination floor avoids the vertical singularity.</t>
        </is>
      </c>
    </row>
    <row r="110">
      <c r="A110" s="28" t="inlineStr">
        <is>
          <t>Inclination at packer</t>
        </is>
      </c>
      <c r="B110" s="117" t="n">
        <v>90</v>
      </c>
      <c r="C110" s="30" t="inlineStr"/>
      <c r="F110" s="27" t="inlineStr">
        <is>
          <t>deg</t>
        </is>
      </c>
    </row>
    <row r="111">
      <c r="A111" s="28" t="inlineStr">
        <is>
          <t>Casing ID</t>
        </is>
      </c>
      <c r="B111" s="84">
        <f>WD_CsgID</f>
        <v/>
      </c>
      <c r="C111" s="30" t="inlineStr">
        <is>
          <t>in</t>
        </is>
      </c>
      <c r="D111" s="34">
        <f>IFERROR($B$111*25.4,NA())</f>
        <v/>
      </c>
      <c r="E111" s="30" t="inlineStr">
        <is>
          <t>mm</t>
        </is>
      </c>
      <c r="F111" s="27" t="inlineStr">
        <is>
          <t>Linked to Well Data sheet - overwrite locally if this well differs.</t>
        </is>
      </c>
    </row>
    <row r="112">
      <c r="A112" s="28" t="inlineStr">
        <is>
          <t>Annulus fluid density</t>
        </is>
      </c>
      <c r="B112" s="35" t="n">
        <v>8.6</v>
      </c>
      <c r="C112" s="30" t="inlineStr">
        <is>
          <t>ppg</t>
        </is>
      </c>
      <c r="D112" s="36">
        <f>IFERROR($B$112*119.8264,NA())</f>
        <v/>
      </c>
      <c r="E112" s="30" t="inlineStr">
        <is>
          <t>kg/m3</t>
        </is>
      </c>
    </row>
    <row r="113">
      <c r="A113" s="28" t="inlineStr">
        <is>
          <t>Tubing moment of inertia (I)</t>
        </is>
      </c>
      <c r="B113" s="50">
        <f>PI()/64*($B$10^4-$B$11^4)</f>
        <v/>
      </c>
      <c r="C113" s="30" t="inlineStr"/>
      <c r="F113" s="27" t="inlineStr">
        <is>
          <t>in^4</t>
        </is>
      </c>
    </row>
    <row r="114">
      <c r="A114" s="28" t="inlineStr">
        <is>
          <t>Buoyed weight per inch</t>
        </is>
      </c>
      <c r="B114" s="50">
        <f>$B$12*(1-$B$112/65.5)/12</f>
        <v/>
      </c>
      <c r="C114" s="30" t="inlineStr"/>
      <c r="F114" s="27" t="inlineStr">
        <is>
          <t>lb/in</t>
        </is>
      </c>
    </row>
    <row r="115">
      <c r="A115" s="28" t="inlineStr">
        <is>
          <t>Radial clearance</t>
        </is>
      </c>
      <c r="B115" s="50">
        <f>($B$111-$B$10)/2</f>
        <v/>
      </c>
      <c r="C115" s="30" t="inlineStr">
        <is>
          <t>in</t>
        </is>
      </c>
      <c r="D115" s="34">
        <f>IFERROR($B$115*25.4,NA())</f>
        <v/>
      </c>
      <c r="E115" s="30" t="inlineStr">
        <is>
          <t>mm</t>
        </is>
      </c>
    </row>
    <row r="116">
      <c r="A116" s="28" t="inlineStr">
        <is>
          <t>Sinusoidal onset force</t>
        </is>
      </c>
      <c r="B116" s="59">
        <f>2*SQRT(30000000*$B$113*$B$114*SIN(RADIANS(MAX($B$110,3)))/$B$115)</f>
        <v/>
      </c>
      <c r="C116" s="30" t="inlineStr">
        <is>
          <t>lbf</t>
        </is>
      </c>
      <c r="D116" s="32">
        <f>IFERROR($B$116*0.004448222,NA())</f>
        <v/>
      </c>
      <c r="E116" s="30" t="inlineStr">
        <is>
          <t>kN</t>
        </is>
      </c>
    </row>
    <row r="117">
      <c r="A117" s="28" t="inlineStr">
        <is>
          <t>Buckling status (worst packer compression)</t>
        </is>
      </c>
      <c r="B117" s="72">
        <f>IF(MIN($B$63,$B$70)&gt;-$B$116,"OK - no buckling at packer",IF(MIN($B$63,$B$70)&gt;-1.41*$B$116,"MARGINAL - sinusoidal buckling","CHECK: helical BUCKLING at packer - seal wear/lockup risk"))</f>
        <v/>
      </c>
      <c r="C117" s="30" t="inlineStr"/>
    </row>
    <row r="119">
      <c r="A119" s="25" t="inlineStr">
        <is>
          <t>Trapped Annulus Pressure Build-Up (APB)</t>
        </is>
      </c>
      <c r="B119" s="26" t="n"/>
      <c r="C119" s="26" t="n"/>
      <c r="D119" s="26" t="n"/>
      <c r="E119" s="26" t="n"/>
      <c r="F119" s="49" t="inlineStr">
        <is>
          <t>dP = (alpha_v / c_f) x dT   (rigid, fully-trapped annulus)</t>
        </is>
      </c>
    </row>
    <row r="120">
      <c r="A120" t="inlineStr"/>
      <c r="F120" s="27" t="inlineStr">
        <is>
          <t>Screening upper bound: no casing/tubing compliance, no gas cap, no leak-off. Real APB is lower; mitigate with gas cushion, crushable foam or burst disks.</t>
        </is>
      </c>
    </row>
    <row r="121">
      <c r="A121" s="28" t="inlineStr">
        <is>
          <t>Fluid thermal expansion (alpha_v)</t>
        </is>
      </c>
      <c r="B121" s="62" t="n">
        <v>0.00025</v>
      </c>
      <c r="C121" s="30" t="inlineStr"/>
      <c r="F121" s="27" t="inlineStr">
        <is>
          <t>1/degF, water ~2.1e-4 to 2.8e-4 rising with temperature.</t>
        </is>
      </c>
    </row>
    <row r="122">
      <c r="A122" s="28" t="inlineStr">
        <is>
          <t>Fluid compressibility (c_f)</t>
        </is>
      </c>
      <c r="B122" s="116" t="n">
        <v>3e-06</v>
      </c>
      <c r="C122" s="30" t="inlineStr"/>
      <c r="F122" s="27" t="inlineStr">
        <is>
          <t>1/psi, water ~3e-6.</t>
        </is>
      </c>
    </row>
    <row r="123">
      <c r="A123" s="28" t="inlineStr">
        <is>
          <t>Trapped annulus temp rise</t>
        </is>
      </c>
      <c r="B123" s="117" t="n">
        <v>40</v>
      </c>
      <c r="C123" s="30" t="inlineStr"/>
      <c r="F123" s="27" t="inlineStr">
        <is>
          <t>degF</t>
        </is>
      </c>
    </row>
    <row r="124">
      <c r="A124" s="28" t="inlineStr">
        <is>
          <t>APB estimate (rigid annulus)</t>
        </is>
      </c>
      <c r="B124" s="59">
        <f>$B$121/$B$122*$B$123</f>
        <v/>
      </c>
      <c r="C124" s="30" t="inlineStr">
        <is>
          <t>psi</t>
        </is>
      </c>
      <c r="D124" s="32">
        <f>IFERROR($B$124*6.894757,NA())</f>
        <v/>
      </c>
      <c r="E124" s="30" t="inlineStr">
        <is>
          <t>kPa</t>
        </is>
      </c>
    </row>
    <row r="125">
      <c r="A125" s="27" t="inlineStr"/>
      <c r="F125" s="27" t="inlineStr">
        <is>
          <t>Compare APB against casing burst and collapse ratings on the Casing &amp; Tubular Design sheet.</t>
        </is>
      </c>
    </row>
  </sheetData>
  <sheetProtection selectLockedCells="0" selectUnlockedCells="0" sheet="1" objects="0" insertRows="1" insertHyperlinks="1" autoFilter="1" scenarios="0" formatColumns="0" deleteColumns="1" insertColumns="1" pivotTables="1" deleteRows="1" formatCells="1" formatRows="0" sort="1"/>
  <mergeCells count="8">
    <mergeCell ref="A2:F2"/>
    <mergeCell ref="A51:F51"/>
    <mergeCell ref="A1:F1"/>
    <mergeCell ref="A106:F106"/>
    <mergeCell ref="A6:F6"/>
    <mergeCell ref="A88:F88"/>
    <mergeCell ref="A26:F26"/>
    <mergeCell ref="A72:F72"/>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27.xml><?xml version="1.0" encoding="utf-8"?>
<worksheet xmlns="http://schemas.openxmlformats.org/spreadsheetml/2006/main">
  <sheetPr>
    <tabColor rgb="00548235"/>
    <outlinePr summaryBelow="1" summaryRight="1"/>
    <pageSetUpPr/>
  </sheetPr>
  <dimension ref="A1:F79"/>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Perforating</t>
        </is>
      </c>
      <c r="B1" s="2" t="n"/>
      <c r="C1" s="2" t="n"/>
      <c r="D1" s="2" t="n"/>
      <c r="E1" s="2" t="n"/>
      <c r="F1" s="2" t="n"/>
    </row>
    <row r="2">
      <c r="A2" s="20" t="inlineStr">
        <is>
          <t>Underbalance design, cushion and nitrogen columns, shot density, flow area, TCP gun totals</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Underbalance Design</t>
        </is>
      </c>
      <c r="B6" s="24" t="n"/>
      <c r="C6" s="24" t="n"/>
      <c r="D6" s="24" t="n"/>
      <c r="E6" s="24" t="n"/>
      <c r="F6" s="24" t="n"/>
    </row>
    <row r="8">
      <c r="A8" s="25" t="inlineStr">
        <is>
          <t>Optimal Static Underbalance (King-Style Correlation)</t>
        </is>
      </c>
      <c r="B8" s="26" t="n"/>
      <c r="C8" s="26" t="n"/>
      <c r="D8" s="26" t="n"/>
      <c r="E8" s="26" t="n"/>
      <c r="F8" s="49" t="inlineStr">
        <is>
          <t>dP_opt [psi] = C / k^0.37   (k in mD)</t>
        </is>
      </c>
    </row>
    <row r="9">
      <c r="A9" t="inlineStr"/>
      <c r="F9" s="27" t="inlineStr">
        <is>
          <t>Rule-of-thumb correlation in the style of King (1985) / Behrmann guidance for perforation cleanup in sandstone. C approx 2500 for oil zones, approx 2900-3500 for gas zones (gas needs more underbalance at the same permeability). Approximate only - cap at what the completion and sand strength can tolerate.</t>
        </is>
      </c>
    </row>
    <row r="10">
      <c r="A10" s="28" t="inlineStr">
        <is>
          <t>Formation permeability (k)</t>
        </is>
      </c>
      <c r="B10" s="85" t="n">
        <v>100</v>
      </c>
      <c r="C10" s="30" t="inlineStr">
        <is>
          <t>mD</t>
        </is>
      </c>
      <c r="D10" s="61">
        <f>IFERROR($B$10*0.9869233,NA())</f>
        <v/>
      </c>
      <c r="E10" s="30" t="inlineStr">
        <is>
          <t>um2 x1e-3</t>
        </is>
      </c>
    </row>
    <row r="11">
      <c r="A11" s="28" t="inlineStr">
        <is>
          <t>Coefficient - oil zone (C_oil)</t>
        </is>
      </c>
      <c r="B11" s="31" t="n">
        <v>2500</v>
      </c>
      <c r="C11" s="30" t="inlineStr"/>
      <c r="F11" s="27" t="inlineStr">
        <is>
          <t>King-style, sandstone oil zones.</t>
        </is>
      </c>
    </row>
    <row r="12">
      <c r="A12" s="28" t="inlineStr">
        <is>
          <t>Coefficient - gas zone (C_gas)</t>
        </is>
      </c>
      <c r="B12" s="31" t="n">
        <v>2900</v>
      </c>
      <c r="C12" s="30" t="inlineStr"/>
      <c r="F12" s="27" t="inlineStr">
        <is>
          <t>Gas correction: higher C for gas zones.</t>
        </is>
      </c>
    </row>
    <row r="13">
      <c r="A13" s="28" t="inlineStr">
        <is>
          <t>Optimal underbalance - oil</t>
        </is>
      </c>
      <c r="B13" s="59">
        <f>$B$11/$B$10^0.37</f>
        <v/>
      </c>
      <c r="C13" s="30" t="inlineStr">
        <is>
          <t>psi</t>
        </is>
      </c>
      <c r="D13" s="32">
        <f>IFERROR($B$13*6.894757,NA())</f>
        <v/>
      </c>
      <c r="E13" s="30" t="inlineStr">
        <is>
          <t>kPa</t>
        </is>
      </c>
    </row>
    <row r="14">
      <c r="A14" s="28" t="inlineStr">
        <is>
          <t>Optimal underbalance - gas</t>
        </is>
      </c>
      <c r="B14" s="59">
        <f>$B$12/$B$10^0.37</f>
        <v/>
      </c>
      <c r="C14" s="30" t="inlineStr">
        <is>
          <t>psi</t>
        </is>
      </c>
      <c r="D14" s="32">
        <f>IFERROR($B$14*6.894757,NA())</f>
        <v/>
      </c>
      <c r="E14" s="30" t="inlineStr">
        <is>
          <t>kPa</t>
        </is>
      </c>
    </row>
    <row r="16">
      <c r="A16" s="25" t="inlineStr">
        <is>
          <t>Underbalance from Wellbore Fluid Column</t>
        </is>
      </c>
      <c r="B16" s="26" t="n"/>
      <c r="C16" s="26" t="n"/>
      <c r="D16" s="26" t="n"/>
      <c r="E16" s="26" t="n"/>
      <c r="F16" s="49" t="inlineStr">
        <is>
          <t>P_wb = 0.052 x rho x (TVD_perf - D_level);   dP_ub = P_res - P_wb</t>
        </is>
      </c>
    </row>
    <row r="17">
      <c r="A17" t="inlineStr"/>
      <c r="F17" s="27" t="inlineStr">
        <is>
          <t>Fluid level below surface (D_level = 0 for a full column). Positive dP_ub = underbalanced.</t>
        </is>
      </c>
    </row>
    <row r="18">
      <c r="A18" s="28" t="inlineStr">
        <is>
          <t>Reservoir pressure (P_res)</t>
        </is>
      </c>
      <c r="B18" s="31" t="n">
        <v>4500</v>
      </c>
      <c r="C18" s="30" t="inlineStr">
        <is>
          <t>psi</t>
        </is>
      </c>
      <c r="D18" s="32">
        <f>IFERROR($B$18*6.894757,NA())</f>
        <v/>
      </c>
      <c r="E18" s="30" t="inlineStr">
        <is>
          <t>kPa</t>
        </is>
      </c>
    </row>
    <row r="19">
      <c r="A19" s="28" t="inlineStr">
        <is>
          <t>Wellbore fluid density</t>
        </is>
      </c>
      <c r="B19" s="35" t="n">
        <v>9</v>
      </c>
      <c r="C19" s="30" t="inlineStr">
        <is>
          <t>ppg</t>
        </is>
      </c>
      <c r="D19" s="36">
        <f>IFERROR($B$19*119.8264,NA())</f>
        <v/>
      </c>
      <c r="E19" s="30" t="inlineStr">
        <is>
          <t>kg/m3</t>
        </is>
      </c>
    </row>
    <row r="20">
      <c r="A20" s="28" t="inlineStr">
        <is>
          <t>TVD at perforations</t>
        </is>
      </c>
      <c r="B20" s="31" t="n">
        <v>9000</v>
      </c>
      <c r="C20" s="30" t="inlineStr">
        <is>
          <t>ft</t>
        </is>
      </c>
      <c r="D20" s="32">
        <f>IFERROR($B$20*0.3048,NA())</f>
        <v/>
      </c>
      <c r="E20" s="30" t="inlineStr">
        <is>
          <t>m</t>
        </is>
      </c>
    </row>
    <row r="21">
      <c r="A21" s="28" t="inlineStr">
        <is>
          <t>Fluid level below surface (D_level)</t>
        </is>
      </c>
      <c r="B21" s="31" t="n">
        <v>500</v>
      </c>
      <c r="C21" s="30" t="inlineStr">
        <is>
          <t>ft</t>
        </is>
      </c>
      <c r="D21" s="32">
        <f>IFERROR($B$21*0.3048,NA())</f>
        <v/>
      </c>
      <c r="E21" s="30" t="inlineStr">
        <is>
          <t>m</t>
        </is>
      </c>
    </row>
    <row r="22">
      <c r="A22" s="28" t="inlineStr">
        <is>
          <t>Wellbore pressure at perfs (P_wb)</t>
        </is>
      </c>
      <c r="B22" s="59">
        <f>0.052*$B$19*($B$20-$B$21)</f>
        <v/>
      </c>
      <c r="C22" s="30" t="inlineStr">
        <is>
          <t>psi</t>
        </is>
      </c>
      <c r="D22" s="32">
        <f>IFERROR($B$22*6.894757,NA())</f>
        <v/>
      </c>
      <c r="E22" s="30" t="inlineStr">
        <is>
          <t>kPa</t>
        </is>
      </c>
    </row>
    <row r="23">
      <c r="A23" s="28" t="inlineStr">
        <is>
          <t>Static underbalance (dP_ub)</t>
        </is>
      </c>
      <c r="B23" s="59">
        <f>$B$18-$B$22</f>
        <v/>
      </c>
      <c r="C23" s="30" t="inlineStr">
        <is>
          <t>psi</t>
        </is>
      </c>
      <c r="D23" s="32">
        <f>IFERROR($B$23*6.894757,NA())</f>
        <v/>
      </c>
      <c r="E23" s="30" t="inlineStr">
        <is>
          <t>kPa</t>
        </is>
      </c>
    </row>
    <row r="24">
      <c r="A24" s="28" t="inlineStr">
        <is>
          <t>Status</t>
        </is>
      </c>
      <c r="B24" s="72">
        <f>IF($B$23&gt;0,"UNDERBALANCED",IF($B$23=0,"BALANCED","OVERBALANCED"))</f>
        <v/>
      </c>
      <c r="C24" s="30" t="inlineStr"/>
      <c r="F24" s="27" t="inlineStr">
        <is>
          <t>Text result.</t>
        </is>
      </c>
    </row>
    <row r="26">
      <c r="A26" s="25" t="inlineStr">
        <is>
          <t>Cushion Design for a Target Underbalance</t>
        </is>
      </c>
      <c r="B26" s="26" t="n"/>
      <c r="C26" s="26" t="n"/>
      <c r="D26" s="26" t="n"/>
      <c r="E26" s="26" t="n"/>
      <c r="F26" s="49" t="inlineStr">
        <is>
          <t>rho_req = (P_res - dP_ub) / (0.052 x TVD);   h_col = (P_res - dP_ub) / (0.052 x rho);   D_level = TVD - h_col</t>
        </is>
      </c>
    </row>
    <row r="27">
      <c r="A27" t="inlineStr"/>
      <c r="F27" s="27" t="inlineStr">
        <is>
          <t>Two options: full column of lighter fluid (rho_req), or a partial column (swabbed / N2-displaced) of the given brine with the fluid level at D_level.</t>
        </is>
      </c>
    </row>
    <row r="28">
      <c r="A28" s="28" t="inlineStr">
        <is>
          <t>Reservoir pressure (P_res)</t>
        </is>
      </c>
      <c r="B28" s="31" t="n">
        <v>4500</v>
      </c>
      <c r="C28" s="30" t="inlineStr">
        <is>
          <t>psi</t>
        </is>
      </c>
      <c r="D28" s="32">
        <f>IFERROR($B$28*6.894757,NA())</f>
        <v/>
      </c>
      <c r="E28" s="30" t="inlineStr">
        <is>
          <t>kPa</t>
        </is>
      </c>
    </row>
    <row r="29">
      <c r="A29" s="28" t="inlineStr">
        <is>
          <t>Target underbalance (dP_ub)</t>
        </is>
      </c>
      <c r="B29" s="31" t="n">
        <v>500</v>
      </c>
      <c r="C29" s="30" t="inlineStr">
        <is>
          <t>psi</t>
        </is>
      </c>
      <c r="D29" s="32">
        <f>IFERROR($B$29*6.894757,NA())</f>
        <v/>
      </c>
      <c r="E29" s="30" t="inlineStr">
        <is>
          <t>kPa</t>
        </is>
      </c>
    </row>
    <row r="30">
      <c r="A30" s="28" t="inlineStr">
        <is>
          <t>TVD at perforations</t>
        </is>
      </c>
      <c r="B30" s="31" t="n">
        <v>9000</v>
      </c>
      <c r="C30" s="30" t="inlineStr">
        <is>
          <t>ft</t>
        </is>
      </c>
      <c r="D30" s="32">
        <f>IFERROR($B$30*0.3048,NA())</f>
        <v/>
      </c>
      <c r="E30" s="30" t="inlineStr">
        <is>
          <t>m</t>
        </is>
      </c>
    </row>
    <row r="31">
      <c r="A31" s="28" t="inlineStr">
        <is>
          <t>Available cushion fluid density</t>
        </is>
      </c>
      <c r="B31" s="35" t="n">
        <v>9</v>
      </c>
      <c r="C31" s="30" t="inlineStr">
        <is>
          <t>ppg</t>
        </is>
      </c>
      <c r="D31" s="36">
        <f>IFERROR($B$31*119.8264,NA())</f>
        <v/>
      </c>
      <c r="E31" s="30" t="inlineStr">
        <is>
          <t>kg/m3</t>
        </is>
      </c>
    </row>
    <row r="32">
      <c r="A32" s="28" t="inlineStr">
        <is>
          <t>Required density, full column</t>
        </is>
      </c>
      <c r="B32" s="51">
        <f>($B$28-$B$29)/(0.052*$B$30)</f>
        <v/>
      </c>
      <c r="C32" s="30" t="inlineStr">
        <is>
          <t>ppg</t>
        </is>
      </c>
      <c r="D32" s="42">
        <f>IFERROR($B$32*119.8264,NA())</f>
        <v/>
      </c>
      <c r="E32" s="30" t="inlineStr">
        <is>
          <t>kg/m3</t>
        </is>
      </c>
    </row>
    <row r="33">
      <c r="A33" s="28" t="inlineStr">
        <is>
          <t>Required fluid column height (h_col)</t>
        </is>
      </c>
      <c r="B33" s="59">
        <f>($B$28-$B$29)/(0.052*$B$31)</f>
        <v/>
      </c>
      <c r="C33" s="30" t="inlineStr">
        <is>
          <t>ft</t>
        </is>
      </c>
      <c r="D33" s="32">
        <f>IFERROR($B$33*0.3048,NA())</f>
        <v/>
      </c>
      <c r="E33" s="30" t="inlineStr">
        <is>
          <t>m</t>
        </is>
      </c>
    </row>
    <row r="34">
      <c r="A34" s="28" t="inlineStr">
        <is>
          <t>Fluid level below surface (D_level)</t>
        </is>
      </c>
      <c r="B34" s="59">
        <f>$B$30-$B$33</f>
        <v/>
      </c>
      <c r="C34" s="30" t="inlineStr">
        <is>
          <t>ft</t>
        </is>
      </c>
      <c r="D34" s="32">
        <f>IFERROR($B$34*0.3048,NA())</f>
        <v/>
      </c>
      <c r="E34" s="30" t="inlineStr">
        <is>
          <t>m</t>
        </is>
      </c>
      <c r="F34" s="27" t="inlineStr">
        <is>
          <t>Negative means the fluid alone is too light to reach the target - see full-column density above.</t>
        </is>
      </c>
    </row>
    <row r="36">
      <c r="A36" s="25" t="inlineStr">
        <is>
          <t>Nitrogen Cushion over Brine</t>
        </is>
      </c>
      <c r="B36" s="26" t="n"/>
      <c r="C36" s="26" t="n"/>
      <c r="D36" s="26" t="n"/>
      <c r="E36" s="26" t="n"/>
      <c r="F36" s="49" t="inlineStr">
        <is>
          <t>P_int = P_surf x EXP(0.01875 x SG x D_int / (T_avg_R x Z));   P_perf = P_int + 0.052 x rho x (TVD - D_int)</t>
        </is>
      </c>
    </row>
    <row r="37">
      <c r="A37" t="inlineStr"/>
      <c r="F37" s="27" t="inlineStr">
        <is>
          <t>Static gas column approximation with average temperature (T in Rankine = degF + 460) and average Z. N2 gas gravity approx 0.97. dP_ub = P_res - P_perf.</t>
        </is>
      </c>
    </row>
    <row r="38">
      <c r="A38" s="28" t="inlineStr">
        <is>
          <t>N2 surface pressure (P_surf)</t>
        </is>
      </c>
      <c r="B38" s="31" t="n">
        <v>1500</v>
      </c>
      <c r="C38" s="30" t="inlineStr">
        <is>
          <t>psi</t>
        </is>
      </c>
      <c r="D38" s="32">
        <f>IFERROR($B$38*6.894757,NA())</f>
        <v/>
      </c>
      <c r="E38" s="30" t="inlineStr">
        <is>
          <t>kPa</t>
        </is>
      </c>
      <c r="F38" s="27" t="inlineStr">
        <is>
          <t>Use absolute pressure (psia).</t>
        </is>
      </c>
    </row>
    <row r="39">
      <c r="A39" s="28" t="inlineStr">
        <is>
          <t>Gas specific gravity (SG)</t>
        </is>
      </c>
      <c r="B39" s="33" t="n">
        <v>0.97</v>
      </c>
      <c r="C39" s="30" t="inlineStr"/>
      <c r="F39" s="27" t="inlineStr">
        <is>
          <t>Air = 1.0; N2 approx 0.97.</t>
        </is>
      </c>
    </row>
    <row r="40">
      <c r="A40" s="28" t="inlineStr">
        <is>
          <t>Average gas column temperature</t>
        </is>
      </c>
      <c r="B40" s="31" t="n">
        <v>140</v>
      </c>
      <c r="C40" s="30" t="inlineStr">
        <is>
          <t>degF</t>
        </is>
      </c>
      <c r="D40" s="32">
        <f>IFERROR(($B$40-32)/1.8,NA())</f>
        <v/>
      </c>
      <c r="E40" s="30" t="inlineStr">
        <is>
          <t>degC</t>
        </is>
      </c>
    </row>
    <row r="41">
      <c r="A41" s="28" t="inlineStr">
        <is>
          <t>Average Z factor</t>
        </is>
      </c>
      <c r="B41" s="33" t="n">
        <v>1</v>
      </c>
      <c r="C41" s="30" t="inlineStr"/>
      <c r="F41" s="27" t="inlineStr">
        <is>
          <t>Approx 1.0 for N2 at moderate pressure.</t>
        </is>
      </c>
    </row>
    <row r="42">
      <c r="A42" s="28" t="inlineStr">
        <is>
          <t>Gas/brine interface depth (D_int)</t>
        </is>
      </c>
      <c r="B42" s="31" t="n">
        <v>6000</v>
      </c>
      <c r="C42" s="30" t="inlineStr">
        <is>
          <t>ft</t>
        </is>
      </c>
      <c r="D42" s="32">
        <f>IFERROR($B$42*0.3048,NA())</f>
        <v/>
      </c>
      <c r="E42" s="30" t="inlineStr">
        <is>
          <t>m</t>
        </is>
      </c>
    </row>
    <row r="43">
      <c r="A43" s="28" t="inlineStr">
        <is>
          <t>Brine density below interface</t>
        </is>
      </c>
      <c r="B43" s="35" t="n">
        <v>8.4</v>
      </c>
      <c r="C43" s="30" t="inlineStr">
        <is>
          <t>ppg</t>
        </is>
      </c>
      <c r="D43" s="36">
        <f>IFERROR($B$43*119.8264,NA())</f>
        <v/>
      </c>
      <c r="E43" s="30" t="inlineStr">
        <is>
          <t>kg/m3</t>
        </is>
      </c>
    </row>
    <row r="44">
      <c r="A44" s="28" t="inlineStr">
        <is>
          <t>TVD at perforations</t>
        </is>
      </c>
      <c r="B44" s="31" t="n">
        <v>9000</v>
      </c>
      <c r="C44" s="30" t="inlineStr">
        <is>
          <t>ft</t>
        </is>
      </c>
      <c r="D44" s="32">
        <f>IFERROR($B$44*0.3048,NA())</f>
        <v/>
      </c>
      <c r="E44" s="30" t="inlineStr">
        <is>
          <t>m</t>
        </is>
      </c>
    </row>
    <row r="45">
      <c r="A45" s="28" t="inlineStr">
        <is>
          <t>Reservoir pressure (P_res)</t>
        </is>
      </c>
      <c r="B45" s="31" t="n">
        <v>4500</v>
      </c>
      <c r="C45" s="30" t="inlineStr">
        <is>
          <t>psi</t>
        </is>
      </c>
      <c r="D45" s="32">
        <f>IFERROR($B$45*6.894757,NA())</f>
        <v/>
      </c>
      <c r="E45" s="30" t="inlineStr">
        <is>
          <t>kPa</t>
        </is>
      </c>
    </row>
    <row r="46">
      <c r="A46" s="28" t="inlineStr">
        <is>
          <t>Pressure at interface (P_int)</t>
        </is>
      </c>
      <c r="B46" s="59">
        <f>$B$38*EXP(0.01875*$B$39*$B$42/(($B$40+460)*$B$41))</f>
        <v/>
      </c>
      <c r="C46" s="30" t="inlineStr">
        <is>
          <t>psi</t>
        </is>
      </c>
      <c r="D46" s="32">
        <f>IFERROR($B$46*6.894757,NA())</f>
        <v/>
      </c>
      <c r="E46" s="30" t="inlineStr">
        <is>
          <t>kPa</t>
        </is>
      </c>
    </row>
    <row r="47">
      <c r="A47" s="28" t="inlineStr">
        <is>
          <t>Pressure at perfs (P_perf)</t>
        </is>
      </c>
      <c r="B47" s="59">
        <f>$B$46+0.052*$B$43*($B$44-$B$42)</f>
        <v/>
      </c>
      <c r="C47" s="30" t="inlineStr">
        <is>
          <t>psi</t>
        </is>
      </c>
      <c r="D47" s="32">
        <f>IFERROR($B$47*6.894757,NA())</f>
        <v/>
      </c>
      <c r="E47" s="30" t="inlineStr">
        <is>
          <t>kPa</t>
        </is>
      </c>
    </row>
    <row r="48">
      <c r="A48" s="28" t="inlineStr">
        <is>
          <t>Underbalance with N2 cushion</t>
        </is>
      </c>
      <c r="B48" s="59">
        <f>$B$45-$B$47</f>
        <v/>
      </c>
      <c r="C48" s="30" t="inlineStr">
        <is>
          <t>psi</t>
        </is>
      </c>
      <c r="D48" s="32">
        <f>IFERROR($B$48*6.894757,NA())</f>
        <v/>
      </c>
      <c r="E48" s="30" t="inlineStr">
        <is>
          <t>kPa</t>
        </is>
      </c>
      <c r="F48" s="27" t="inlineStr">
        <is>
          <t>Positive = underbalanced.</t>
        </is>
      </c>
    </row>
    <row r="50" ht="20" customHeight="1">
      <c r="A50" s="23" t="inlineStr">
        <is>
          <t>Perforation Geometry &amp; Flow Area</t>
        </is>
      </c>
      <c r="B50" s="24" t="n"/>
      <c r="C50" s="24" t="n"/>
      <c r="D50" s="24" t="n"/>
      <c r="E50" s="24" t="n"/>
      <c r="F50" s="24" t="n"/>
    </row>
    <row r="52">
      <c r="A52" s="25" t="inlineStr">
        <is>
          <t>Shot Density, Phasing &amp; Flow Area</t>
        </is>
      </c>
      <c r="B52" s="26" t="n"/>
      <c r="C52" s="26" t="n"/>
      <c r="D52" s="26" t="n"/>
      <c r="E52" s="26" t="n"/>
      <c r="F52" s="49" t="inlineStr">
        <is>
          <t>A_flow [in2/ft] = SPF x pi/4 x d_perf^2</t>
        </is>
      </c>
    </row>
    <row r="53">
      <c r="A53" t="inlineStr"/>
      <c r="F53" s="27" t="inlineStr">
        <is>
          <t>Total open flow area per foot from entrance-hole diameter. Shots per phasing plane = 360 / phasing angle. Flow area is the simple first-order screen for perforation flow efficiency - low SPF and small holes drive perforation skin; use a McLeod / Karakas-Tariq model for a rigorous skin value.</t>
        </is>
      </c>
    </row>
    <row r="54">
      <c r="A54" s="28" t="inlineStr">
        <is>
          <t>Shot density (SPF)</t>
        </is>
      </c>
      <c r="B54" s="31" t="n">
        <v>6</v>
      </c>
      <c r="C54" s="30" t="inlineStr"/>
      <c r="F54" s="27" t="inlineStr">
        <is>
          <t>Shots per foot.</t>
        </is>
      </c>
    </row>
    <row r="55">
      <c r="A55" s="28" t="inlineStr">
        <is>
          <t>Phasing</t>
        </is>
      </c>
      <c r="B55" s="31" t="n">
        <v>60</v>
      </c>
      <c r="C55" s="30" t="inlineStr"/>
      <c r="F55" s="27" t="inlineStr">
        <is>
          <t>Degrees between adjacent shots.</t>
        </is>
      </c>
    </row>
    <row r="56">
      <c r="A56" s="28" t="inlineStr">
        <is>
          <t>Entrance hole diameter (d_perf)</t>
        </is>
      </c>
      <c r="B56" s="33" t="n">
        <v>0.43</v>
      </c>
      <c r="C56" s="30" t="inlineStr">
        <is>
          <t>in</t>
        </is>
      </c>
      <c r="D56" s="34">
        <f>IFERROR($B$56*25.4,NA())</f>
        <v/>
      </c>
      <c r="E56" s="30" t="inlineStr">
        <is>
          <t>mm</t>
        </is>
      </c>
    </row>
    <row r="57">
      <c r="A57" s="28" t="inlineStr">
        <is>
          <t>Perforated interval</t>
        </is>
      </c>
      <c r="B57" s="31" t="n">
        <v>40</v>
      </c>
      <c r="C57" s="30" t="inlineStr">
        <is>
          <t>ft</t>
        </is>
      </c>
      <c r="D57" s="32">
        <f>IFERROR($B$57*0.3048,NA())</f>
        <v/>
      </c>
      <c r="E57" s="30" t="inlineStr">
        <is>
          <t>m</t>
        </is>
      </c>
    </row>
    <row r="58">
      <c r="A58" s="28" t="inlineStr">
        <is>
          <t>Shots per full helix turn</t>
        </is>
      </c>
      <c r="B58" s="59">
        <f>360/$B$55</f>
        <v/>
      </c>
      <c r="C58" s="30" t="inlineStr"/>
    </row>
    <row r="59">
      <c r="A59" s="28" t="inlineStr">
        <is>
          <t>Total shots</t>
        </is>
      </c>
      <c r="B59" s="59">
        <f>$B$54*$B$57</f>
        <v/>
      </c>
      <c r="C59" s="30" t="inlineStr"/>
      <c r="F59" s="27" t="inlineStr">
        <is>
          <t>Assumes 100 pct shot efficiency.</t>
        </is>
      </c>
    </row>
    <row r="60">
      <c r="A60" s="28" t="inlineStr">
        <is>
          <t>Flow area per foot</t>
        </is>
      </c>
      <c r="B60" s="50">
        <f>$B$54*PI()/4*$B$56^2</f>
        <v/>
      </c>
      <c r="C60" s="30" t="inlineStr"/>
      <c r="D60" s="34">
        <f>IFERROR($B$60*21.16535,NA())</f>
        <v/>
      </c>
      <c r="E60" s="30" t="inlineStr">
        <is>
          <t>cm2/m</t>
        </is>
      </c>
      <c r="F60" s="27" t="inlineStr">
        <is>
          <t>in2/ft</t>
        </is>
      </c>
    </row>
    <row r="61">
      <c r="A61" s="28" t="inlineStr">
        <is>
          <t>Total flow area</t>
        </is>
      </c>
      <c r="B61" s="60">
        <f>$B$60*$B$57</f>
        <v/>
      </c>
      <c r="C61" s="30" t="inlineStr">
        <is>
          <t>in2</t>
        </is>
      </c>
      <c r="D61" s="61">
        <f>IFERROR($B$61*6.4516,NA())</f>
        <v/>
      </c>
      <c r="E61" s="30" t="inlineStr">
        <is>
          <t>cm2</t>
        </is>
      </c>
    </row>
    <row r="63">
      <c r="A63" s="25" t="inlineStr">
        <is>
          <t>Perforation Tunnel Volume</t>
        </is>
      </c>
      <c r="B63" s="26" t="n"/>
      <c r="C63" s="26" t="n"/>
      <c r="D63" s="26" t="n"/>
      <c r="E63" s="26" t="n"/>
      <c r="F63" s="49" t="inlineStr">
        <is>
          <t>V_perf [in3] = pi/4 x d_perf^2 x Pen;   total = V_perf x shots</t>
        </is>
      </c>
    </row>
    <row r="64">
      <c r="A64" t="inlineStr"/>
      <c r="F64" s="27" t="inlineStr">
        <is>
          <t>Cylindrical tunnel approximation using entrance-hole diameter and penetration depth. Small volume - matters for spotting acid or ball sealer coverage.</t>
        </is>
      </c>
    </row>
    <row r="65">
      <c r="A65" s="28" t="inlineStr">
        <is>
          <t>Penetration depth (Pen)</t>
        </is>
      </c>
      <c r="B65" s="37" t="n">
        <v>12</v>
      </c>
      <c r="C65" s="30" t="inlineStr">
        <is>
          <t>in</t>
        </is>
      </c>
      <c r="D65" s="40">
        <f>IFERROR($B$65*25.4,NA())</f>
        <v/>
      </c>
      <c r="E65" s="30" t="inlineStr">
        <is>
          <t>mm</t>
        </is>
      </c>
    </row>
    <row r="66">
      <c r="A66" s="28" t="inlineStr">
        <is>
          <t>Volume per perforation</t>
        </is>
      </c>
      <c r="B66" s="50">
        <f>PI()/4*$B$56^2*$B$65</f>
        <v/>
      </c>
      <c r="C66" s="30" t="inlineStr"/>
      <c r="D66" s="34">
        <f>IFERROR($B$66*16.38706,NA())</f>
        <v/>
      </c>
      <c r="E66" s="30" t="inlineStr">
        <is>
          <t>cm3</t>
        </is>
      </c>
      <c r="F66" s="27" t="inlineStr">
        <is>
          <t>in3</t>
        </is>
      </c>
    </row>
    <row r="67">
      <c r="A67" s="28" t="inlineStr">
        <is>
          <t>Total perforation volume</t>
        </is>
      </c>
      <c r="B67" s="51">
        <f>$B$66*$B$59/231</f>
        <v/>
      </c>
      <c r="C67" s="30" t="inlineStr">
        <is>
          <t>gal</t>
        </is>
      </c>
      <c r="D67" s="42">
        <f>IFERROR($B$67*3.785412,NA())</f>
        <v/>
      </c>
      <c r="E67" s="30" t="inlineStr">
        <is>
          <t>L</t>
        </is>
      </c>
      <c r="F67" s="27" t="inlineStr">
        <is>
          <t>231 in3 per gallon.</t>
        </is>
      </c>
    </row>
    <row r="69" ht="20" customHeight="1">
      <c r="A69" s="23" t="inlineStr">
        <is>
          <t>TCP Gun String</t>
        </is>
      </c>
      <c r="B69" s="24" t="n"/>
      <c r="C69" s="24" t="n"/>
      <c r="D69" s="24" t="n"/>
      <c r="E69" s="24" t="n"/>
      <c r="F69" s="24" t="n"/>
    </row>
    <row r="71">
      <c r="A71" s="25" t="inlineStr">
        <is>
          <t>Tubing-Conveyed Gun Weight &amp; Length</t>
        </is>
      </c>
      <c r="B71" s="26" t="n"/>
      <c r="C71" s="26" t="n"/>
      <c r="D71" s="26" t="n"/>
      <c r="E71" s="26" t="n"/>
      <c r="F71" s="49" t="inlineStr">
        <is>
          <t>L_string = N x L_gun + L_subs;   W_string = N x L_gun x w_gun + W_subs</t>
        </is>
      </c>
    </row>
    <row r="72">
      <c r="A72" t="inlineStr"/>
      <c r="F72" s="27" t="inlineStr">
        <is>
          <t>Firing head, subs and spacers entered as lump length and weight. Check totals against crane/derrick limits and lubricator length for wireline contingency.</t>
        </is>
      </c>
    </row>
    <row r="73">
      <c r="A73" s="28" t="inlineStr">
        <is>
          <t>Number of gun sections (N)</t>
        </is>
      </c>
      <c r="B73" s="31" t="n">
        <v>2</v>
      </c>
      <c r="C73" s="30" t="inlineStr"/>
    </row>
    <row r="74">
      <c r="A74" s="28" t="inlineStr">
        <is>
          <t>Length per gun section (L_gun)</t>
        </is>
      </c>
      <c r="B74" s="85" t="n">
        <v>20</v>
      </c>
      <c r="C74" s="30" t="inlineStr">
        <is>
          <t>ft</t>
        </is>
      </c>
      <c r="D74" s="61">
        <f>IFERROR($B$74*0.3048,NA())</f>
        <v/>
      </c>
      <c r="E74" s="30" t="inlineStr">
        <is>
          <t>m</t>
        </is>
      </c>
    </row>
    <row r="75">
      <c r="A75" s="28" t="inlineStr">
        <is>
          <t>Gun weight per foot (w_gun)</t>
        </is>
      </c>
      <c r="B75" s="37" t="n">
        <v>25</v>
      </c>
      <c r="C75" s="30" t="inlineStr">
        <is>
          <t>lb/ft</t>
        </is>
      </c>
      <c r="D75" s="40">
        <f>IFERROR($B$75*1.488164,NA())</f>
        <v/>
      </c>
      <c r="E75" s="30" t="inlineStr">
        <is>
          <t>kg/m</t>
        </is>
      </c>
    </row>
    <row r="76">
      <c r="A76" s="28" t="inlineStr">
        <is>
          <t>Subs / firing head length (L_subs)</t>
        </is>
      </c>
      <c r="B76" s="85" t="n">
        <v>15</v>
      </c>
      <c r="C76" s="30" t="inlineStr">
        <is>
          <t>ft</t>
        </is>
      </c>
      <c r="D76" s="61">
        <f>IFERROR($B$76*0.3048,NA())</f>
        <v/>
      </c>
      <c r="E76" s="30" t="inlineStr">
        <is>
          <t>m</t>
        </is>
      </c>
    </row>
    <row r="77">
      <c r="A77" s="28" t="inlineStr">
        <is>
          <t>Subs / firing head weight (W_subs)</t>
        </is>
      </c>
      <c r="B77" s="31" t="n">
        <v>500</v>
      </c>
      <c r="C77" s="30" t="inlineStr">
        <is>
          <t>lbm</t>
        </is>
      </c>
      <c r="D77" s="32">
        <f>IFERROR($B$77*0.4535924,NA())</f>
        <v/>
      </c>
      <c r="E77" s="30" t="inlineStr">
        <is>
          <t>kg</t>
        </is>
      </c>
    </row>
    <row r="78">
      <c r="A78" s="28" t="inlineStr">
        <is>
          <t>Total string length</t>
        </is>
      </c>
      <c r="B78" s="60">
        <f>$B$73*$B$74+$B$76</f>
        <v/>
      </c>
      <c r="C78" s="30" t="inlineStr">
        <is>
          <t>ft</t>
        </is>
      </c>
      <c r="D78" s="61">
        <f>IFERROR($B$78*0.3048,NA())</f>
        <v/>
      </c>
      <c r="E78" s="30" t="inlineStr">
        <is>
          <t>m</t>
        </is>
      </c>
    </row>
    <row r="79">
      <c r="A79" s="28" t="inlineStr">
        <is>
          <t>Total string weight</t>
        </is>
      </c>
      <c r="B79" s="59">
        <f>$B$73*$B$74*$B$75+$B$77</f>
        <v/>
      </c>
      <c r="C79" s="30" t="inlineStr">
        <is>
          <t>lbm</t>
        </is>
      </c>
      <c r="D79" s="32">
        <f>IFERROR($B$79*0.4535924,NA())</f>
        <v/>
      </c>
      <c r="E79" s="30" t="inlineStr">
        <is>
          <t>kg</t>
        </is>
      </c>
    </row>
  </sheetData>
  <sheetProtection selectLockedCells="0" selectUnlockedCells="0" sheet="1" objects="0" insertRows="1" insertHyperlinks="1" autoFilter="1" scenarios="0" formatColumns="0" deleteColumns="1" insertColumns="1" pivotTables="1" deleteRows="1" formatCells="1" formatRows="0" sort="1"/>
  <mergeCells count="5">
    <mergeCell ref="A2:F2"/>
    <mergeCell ref="A1:F1"/>
    <mergeCell ref="A6:F6"/>
    <mergeCell ref="A50:F50"/>
    <mergeCell ref="A69:F69"/>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28.xml><?xml version="1.0" encoding="utf-8"?>
<worksheet xmlns="http://schemas.openxmlformats.org/spreadsheetml/2006/main">
  <sheetPr>
    <tabColor rgb="00548235"/>
    <outlinePr summaryBelow="1" summaryRight="1"/>
    <pageSetUpPr/>
  </sheetPr>
  <dimension ref="A1:F96"/>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Stimulation &amp; Fracturing</t>
        </is>
      </c>
      <c r="B1" s="2" t="n"/>
      <c r="C1" s="2" t="n"/>
      <c r="D1" s="2" t="n"/>
      <c r="E1" s="2" t="n"/>
      <c r="F1" s="2" t="n"/>
    </row>
    <row r="2">
      <c r="A2" s="20" t="inlineStr">
        <is>
          <t>Frac gradient, treating pressures, hydraulic horsepower, perforation friction, proppant and acid volumes</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Fracture Pressures &amp; Gradients</t>
        </is>
      </c>
      <c r="B6" s="24" t="n"/>
      <c r="C6" s="24" t="n"/>
      <c r="D6" s="24" t="n"/>
      <c r="E6" s="24" t="n"/>
      <c r="F6" s="24" t="n"/>
    </row>
    <row r="8">
      <c r="A8" s="25" t="inlineStr">
        <is>
          <t>Fracture Gradient from LOT / Minifrac</t>
        </is>
      </c>
      <c r="B8" s="26" t="n"/>
      <c r="C8" s="26" t="n"/>
      <c r="D8" s="26" t="n"/>
      <c r="E8" s="26" t="n"/>
      <c r="F8" s="49" t="inlineStr">
        <is>
          <t>FG [psi/ft] = (P_surf + 0.052 x rho x TVD) / TVD</t>
        </is>
      </c>
    </row>
    <row r="9">
      <c r="A9" t="inlineStr"/>
      <c r="F9" s="27" t="inlineStr">
        <is>
          <t>P_surf = surface pressure at leak-off (LOT) or at breakdown/ISIP from a minifrac, with fluid density rho in the string. Gives the gradient at the test depth.</t>
        </is>
      </c>
    </row>
    <row r="10">
      <c r="A10" s="28" t="inlineStr">
        <is>
          <t>Surface pressure at leak-off / ISIP</t>
        </is>
      </c>
      <c r="B10" s="31" t="n">
        <v>1800</v>
      </c>
      <c r="C10" s="30" t="inlineStr">
        <is>
          <t>psi</t>
        </is>
      </c>
      <c r="D10" s="32">
        <f>IFERROR($B$10*6.894757,NA())</f>
        <v/>
      </c>
      <c r="E10" s="30" t="inlineStr">
        <is>
          <t>kPa</t>
        </is>
      </c>
    </row>
    <row r="11">
      <c r="A11" s="28" t="inlineStr">
        <is>
          <t>Fluid density in string</t>
        </is>
      </c>
      <c r="B11" s="35" t="n">
        <v>9.199999999999999</v>
      </c>
      <c r="C11" s="30" t="inlineStr">
        <is>
          <t>ppg</t>
        </is>
      </c>
      <c r="D11" s="36">
        <f>IFERROR($B$11*119.8264,NA())</f>
        <v/>
      </c>
      <c r="E11" s="30" t="inlineStr">
        <is>
          <t>kg/m3</t>
        </is>
      </c>
    </row>
    <row r="12">
      <c r="A12" s="28" t="inlineStr">
        <is>
          <t>TVD of test point</t>
        </is>
      </c>
      <c r="B12" s="31" t="n">
        <v>9000</v>
      </c>
      <c r="C12" s="30" t="inlineStr">
        <is>
          <t>ft</t>
        </is>
      </c>
      <c r="D12" s="32">
        <f>IFERROR($B$12*0.3048,NA())</f>
        <v/>
      </c>
      <c r="E12" s="30" t="inlineStr">
        <is>
          <t>m</t>
        </is>
      </c>
    </row>
    <row r="13">
      <c r="A13" s="28" t="inlineStr">
        <is>
          <t>Fracture gradient (FG)</t>
        </is>
      </c>
      <c r="B13" s="50">
        <f>($B$10+0.052*$B$11*$B$12)/$B$12</f>
        <v/>
      </c>
      <c r="C13" s="30" t="inlineStr">
        <is>
          <t>psi/ft</t>
        </is>
      </c>
      <c r="D13" s="34">
        <f>IFERROR($B$13*22.62059,NA())</f>
        <v/>
      </c>
      <c r="E13" s="30" t="inlineStr">
        <is>
          <t>kPa/m</t>
        </is>
      </c>
    </row>
    <row r="15">
      <c r="A15" s="25" t="inlineStr">
        <is>
          <t>Closure Pressure &amp; Gradient</t>
        </is>
      </c>
      <c r="B15" s="26" t="n"/>
      <c r="C15" s="26" t="n"/>
      <c r="D15" s="26" t="n"/>
      <c r="E15" s="26" t="n"/>
      <c r="F15" s="49" t="inlineStr">
        <is>
          <t>G_c [psi/ft] = P_closure / TVD</t>
        </is>
      </c>
    </row>
    <row r="16">
      <c r="A16" t="inlineStr"/>
      <c r="F16" s="27" t="inlineStr">
        <is>
          <t>Closure pressure picked from minifrac decline (G-function / sqrt-time). Approximates minimum horizontal stress.</t>
        </is>
      </c>
    </row>
    <row r="17">
      <c r="A17" s="28" t="inlineStr">
        <is>
          <t>Closure pressure (P_closure)</t>
        </is>
      </c>
      <c r="B17" s="31" t="n">
        <v>6300</v>
      </c>
      <c r="C17" s="30" t="inlineStr">
        <is>
          <t>psi</t>
        </is>
      </c>
      <c r="D17" s="32">
        <f>IFERROR($B$17*6.894757,NA())</f>
        <v/>
      </c>
      <c r="E17" s="30" t="inlineStr">
        <is>
          <t>kPa</t>
        </is>
      </c>
    </row>
    <row r="18">
      <c r="A18" s="28" t="inlineStr">
        <is>
          <t>TVD at mid-perf</t>
        </is>
      </c>
      <c r="B18" s="31" t="n">
        <v>9000</v>
      </c>
      <c r="C18" s="30" t="inlineStr">
        <is>
          <t>ft</t>
        </is>
      </c>
      <c r="D18" s="32">
        <f>IFERROR($B$18*0.3048,NA())</f>
        <v/>
      </c>
      <c r="E18" s="30" t="inlineStr">
        <is>
          <t>m</t>
        </is>
      </c>
    </row>
    <row r="19">
      <c r="A19" s="28" t="inlineStr">
        <is>
          <t>Closure gradient (G_c)</t>
        </is>
      </c>
      <c r="B19" s="50">
        <f>$B$17/$B$18</f>
        <v/>
      </c>
      <c r="C19" s="30" t="inlineStr">
        <is>
          <t>psi/ft</t>
        </is>
      </c>
      <c r="D19" s="34">
        <f>IFERROR($B$19*22.62059,NA())</f>
        <v/>
      </c>
      <c r="E19" s="30" t="inlineStr">
        <is>
          <t>kPa/m</t>
        </is>
      </c>
    </row>
    <row r="21">
      <c r="A21" s="25" t="inlineStr">
        <is>
          <t>Bottomhole Treating Pressure (BHTP)</t>
        </is>
      </c>
      <c r="B21" s="26" t="n"/>
      <c r="C21" s="26" t="n"/>
      <c r="D21" s="26" t="n"/>
      <c r="E21" s="26" t="n"/>
      <c r="F21" s="49" t="inlineStr">
        <is>
          <t>BHTP = FG x TVD</t>
        </is>
      </c>
    </row>
    <row r="22">
      <c r="A22" t="inlineStr"/>
      <c r="F22" s="27" t="inlineStr">
        <is>
          <t>Pressure needed at the perfs to extend the fracture.</t>
        </is>
      </c>
    </row>
    <row r="23">
      <c r="A23" s="28" t="inlineStr">
        <is>
          <t>Fracture gradient (FG)</t>
        </is>
      </c>
      <c r="B23" s="33" t="n">
        <v>0.75</v>
      </c>
      <c r="C23" s="30" t="inlineStr">
        <is>
          <t>psi/ft</t>
        </is>
      </c>
      <c r="D23" s="34">
        <f>IFERROR($B$23*22.62059,NA())</f>
        <v/>
      </c>
      <c r="E23" s="30" t="inlineStr">
        <is>
          <t>kPa/m</t>
        </is>
      </c>
    </row>
    <row r="24">
      <c r="A24" s="28" t="inlineStr">
        <is>
          <t>TVD at mid-perf</t>
        </is>
      </c>
      <c r="B24" s="31" t="n">
        <v>9000</v>
      </c>
      <c r="C24" s="30" t="inlineStr">
        <is>
          <t>ft</t>
        </is>
      </c>
      <c r="D24" s="32">
        <f>IFERROR($B$24*0.3048,NA())</f>
        <v/>
      </c>
      <c r="E24" s="30" t="inlineStr">
        <is>
          <t>m</t>
        </is>
      </c>
    </row>
    <row r="25">
      <c r="A25" s="28" t="inlineStr">
        <is>
          <t>Bottomhole treating pressure</t>
        </is>
      </c>
      <c r="B25" s="59">
        <f>$B$23*$B$24</f>
        <v/>
      </c>
      <c r="C25" s="30" t="inlineStr">
        <is>
          <t>psi</t>
        </is>
      </c>
      <c r="D25" s="32">
        <f>IFERROR($B$25*6.894757,NA())</f>
        <v/>
      </c>
      <c r="E25" s="30" t="inlineStr">
        <is>
          <t>kPa</t>
        </is>
      </c>
    </row>
    <row r="27" ht="20" customHeight="1">
      <c r="A27" s="23" t="inlineStr">
        <is>
          <t>Treating Pressure &amp; Horsepower</t>
        </is>
      </c>
      <c r="B27" s="24" t="n"/>
      <c r="C27" s="24" t="n"/>
      <c r="D27" s="24" t="n"/>
      <c r="E27" s="24" t="n"/>
      <c r="F27" s="24" t="n"/>
    </row>
    <row r="29">
      <c r="A29" s="25" t="inlineStr">
        <is>
          <t>Perforation Friction</t>
        </is>
      </c>
      <c r="B29" s="26" t="n"/>
      <c r="C29" s="26" t="n"/>
      <c r="D29" s="26" t="n"/>
      <c r="E29" s="26" t="n"/>
      <c r="F29" s="49" t="inlineStr">
        <is>
          <t>dP_pf = 0.2369 x Q^2 x rho / (N^2 x d^4 x Cd^2)</t>
        </is>
      </c>
    </row>
    <row r="30">
      <c r="A30" t="inlineStr"/>
      <c r="F30" s="27" t="inlineStr">
        <is>
          <t>Q = total rate in bpm, rho in ppg, d = perf diameter in inches, N = open perfs, Cd = discharge coefficient (0.85 new holes, up to 0.95 after erosion by proppant).</t>
        </is>
      </c>
    </row>
    <row r="31">
      <c r="A31" s="28" t="inlineStr">
        <is>
          <t>Total pump rate (Q)</t>
        </is>
      </c>
      <c r="B31" s="85" t="n">
        <v>30</v>
      </c>
      <c r="C31" s="30" t="inlineStr">
        <is>
          <t>bbl/min</t>
        </is>
      </c>
      <c r="D31" s="61">
        <f>IFERROR($B$31*0.1589873,NA())</f>
        <v/>
      </c>
      <c r="E31" s="30" t="inlineStr">
        <is>
          <t>m3/min</t>
        </is>
      </c>
    </row>
    <row r="32">
      <c r="A32" s="28" t="inlineStr">
        <is>
          <t>Slurry density (rho)</t>
        </is>
      </c>
      <c r="B32" s="35" t="n">
        <v>8.6</v>
      </c>
      <c r="C32" s="30" t="inlineStr">
        <is>
          <t>ppg</t>
        </is>
      </c>
      <c r="D32" s="36">
        <f>IFERROR($B$32*119.8264,NA())</f>
        <v/>
      </c>
      <c r="E32" s="30" t="inlineStr">
        <is>
          <t>kg/m3</t>
        </is>
      </c>
    </row>
    <row r="33">
      <c r="A33" s="28" t="inlineStr">
        <is>
          <t>Number of open perforations (N)</t>
        </is>
      </c>
      <c r="B33" s="31" t="n">
        <v>24</v>
      </c>
      <c r="C33" s="30" t="inlineStr"/>
    </row>
    <row r="34">
      <c r="A34" s="28" t="inlineStr">
        <is>
          <t>Perforation diameter (d)</t>
        </is>
      </c>
      <c r="B34" s="33" t="n">
        <v>0.42</v>
      </c>
      <c r="C34" s="30" t="inlineStr">
        <is>
          <t>in</t>
        </is>
      </c>
      <c r="D34" s="34">
        <f>IFERROR($B$34*25.4,NA())</f>
        <v/>
      </c>
      <c r="E34" s="30" t="inlineStr">
        <is>
          <t>mm</t>
        </is>
      </c>
    </row>
    <row r="35">
      <c r="A35" s="28" t="inlineStr">
        <is>
          <t>Discharge coefficient (Cd)</t>
        </is>
      </c>
      <c r="B35" s="41" t="n">
        <v>0.9</v>
      </c>
      <c r="C35" s="30" t="inlineStr"/>
    </row>
    <row r="36">
      <c r="A36" s="28" t="inlineStr">
        <is>
          <t>Perforation friction (dP_pf)</t>
        </is>
      </c>
      <c r="B36" s="59">
        <f>0.2369*$B$31^2*$B$32/($B$33^2*$B$34^4*$B$35^2)</f>
        <v/>
      </c>
      <c r="C36" s="30" t="inlineStr">
        <is>
          <t>psi</t>
        </is>
      </c>
      <c r="D36" s="32">
        <f>IFERROR($B$36*6.894757,NA())</f>
        <v/>
      </c>
      <c r="E36" s="30" t="inlineStr">
        <is>
          <t>kPa</t>
        </is>
      </c>
    </row>
    <row r="38">
      <c r="A38" s="25" t="inlineStr">
        <is>
          <t>Surface Treating Pressure (STP)</t>
        </is>
      </c>
      <c r="B38" s="26" t="n"/>
      <c r="C38" s="26" t="n"/>
      <c r="D38" s="26" t="n"/>
      <c r="E38" s="26" t="n"/>
      <c r="F38" s="49" t="inlineStr">
        <is>
          <t>STP = BHTP - P_hyd + dP_pipe + dP_pf</t>
        </is>
      </c>
    </row>
    <row r="39">
      <c r="A39" t="inlineStr"/>
      <c r="F39" s="27" t="inlineStr">
        <is>
          <t>P_hyd = 0.052 x rho x TVD. Pipe friction entered as psi per 1000 ft of measured depth - from service company friction tables for the fluid and pipe size. Uses BHTP and dP_pf computed above.</t>
        </is>
      </c>
    </row>
    <row r="40">
      <c r="A40" s="28" t="inlineStr">
        <is>
          <t>Treating fluid density</t>
        </is>
      </c>
      <c r="B40" s="35" t="n">
        <v>8.6</v>
      </c>
      <c r="C40" s="30" t="inlineStr">
        <is>
          <t>ppg</t>
        </is>
      </c>
      <c r="D40" s="36">
        <f>IFERROR($B$40*119.8264,NA())</f>
        <v/>
      </c>
      <c r="E40" s="30" t="inlineStr">
        <is>
          <t>kg/m3</t>
        </is>
      </c>
    </row>
    <row r="41">
      <c r="A41" s="28" t="inlineStr">
        <is>
          <t>TVD at mid-perf</t>
        </is>
      </c>
      <c r="B41" s="31" t="n">
        <v>9000</v>
      </c>
      <c r="C41" s="30" t="inlineStr">
        <is>
          <t>ft</t>
        </is>
      </c>
      <c r="D41" s="32">
        <f>IFERROR($B$41*0.3048,NA())</f>
        <v/>
      </c>
      <c r="E41" s="30" t="inlineStr">
        <is>
          <t>m</t>
        </is>
      </c>
    </row>
    <row r="42">
      <c r="A42" s="28" t="inlineStr">
        <is>
          <t>Pipe friction</t>
        </is>
      </c>
      <c r="B42" s="85" t="n">
        <v>60</v>
      </c>
      <c r="C42" s="30" t="inlineStr"/>
      <c r="D42" s="61">
        <f>IFERROR($B$42*2.262059,NA())</f>
        <v/>
      </c>
      <c r="E42" s="30" t="inlineStr">
        <is>
          <t>kPa/100m</t>
        </is>
      </c>
      <c r="F42" s="27" t="inlineStr">
        <is>
          <t>psi per 1000 ft</t>
        </is>
      </c>
    </row>
    <row r="43">
      <c r="A43" s="28" t="inlineStr">
        <is>
          <t>Measured depth of flow path</t>
        </is>
      </c>
      <c r="B43" s="31" t="n">
        <v>9200</v>
      </c>
      <c r="C43" s="30" t="inlineStr">
        <is>
          <t>ft</t>
        </is>
      </c>
      <c r="D43" s="32">
        <f>IFERROR($B$43*0.3048,NA())</f>
        <v/>
      </c>
      <c r="E43" s="30" t="inlineStr">
        <is>
          <t>m</t>
        </is>
      </c>
    </row>
    <row r="44">
      <c r="A44" s="28" t="inlineStr">
        <is>
          <t>Hydrostatic (P_hyd)</t>
        </is>
      </c>
      <c r="B44" s="59">
        <f>0.052*$B$40*$B$41</f>
        <v/>
      </c>
      <c r="C44" s="30" t="inlineStr">
        <is>
          <t>psi</t>
        </is>
      </c>
      <c r="D44" s="32">
        <f>IFERROR($B$44*6.894757,NA())</f>
        <v/>
      </c>
      <c r="E44" s="30" t="inlineStr">
        <is>
          <t>kPa</t>
        </is>
      </c>
    </row>
    <row r="45">
      <c r="A45" s="28" t="inlineStr">
        <is>
          <t>Total pipe friction (dP_pipe)</t>
        </is>
      </c>
      <c r="B45" s="59">
        <f>$B$42*$B$43/1000</f>
        <v/>
      </c>
      <c r="C45" s="30" t="inlineStr">
        <is>
          <t>psi</t>
        </is>
      </c>
      <c r="D45" s="32">
        <f>IFERROR($B$45*6.894757,NA())</f>
        <v/>
      </c>
      <c r="E45" s="30" t="inlineStr">
        <is>
          <t>kPa</t>
        </is>
      </c>
    </row>
    <row r="46">
      <c r="A46" s="28" t="inlineStr">
        <is>
          <t>Surface treating pressure (STP)</t>
        </is>
      </c>
      <c r="B46" s="59">
        <f>$B$25-$B$44+$B$45+$B$36</f>
        <v/>
      </c>
      <c r="C46" s="30" t="inlineStr">
        <is>
          <t>psi</t>
        </is>
      </c>
      <c r="D46" s="32">
        <f>IFERROR($B$46*6.894757,NA())</f>
        <v/>
      </c>
      <c r="E46" s="30" t="inlineStr">
        <is>
          <t>kPa</t>
        </is>
      </c>
    </row>
    <row r="48">
      <c r="A48" s="25" t="inlineStr">
        <is>
          <t>Hydraulic Horsepower</t>
        </is>
      </c>
      <c r="B48" s="26" t="n"/>
      <c r="C48" s="26" t="n"/>
      <c r="D48" s="26" t="n"/>
      <c r="E48" s="26" t="n"/>
      <c r="F48" s="49" t="inlineStr">
        <is>
          <t>HHP = STP x Q / 40.8   (Q in bpm)</t>
        </is>
      </c>
    </row>
    <row r="49">
      <c r="A49" t="inlineStr"/>
      <c r="F49" s="27" t="inlineStr">
        <is>
          <t>Order pump HHP with headroom - typically 1.2-1.5 x calculated. Uses STP and Q from above.</t>
        </is>
      </c>
    </row>
    <row r="50">
      <c r="A50" s="28" t="inlineStr">
        <is>
          <t>Hydraulic horsepower (HHP)</t>
        </is>
      </c>
      <c r="B50" s="59">
        <f>$B$46*$B$31/40.8</f>
        <v/>
      </c>
      <c r="C50" s="30" t="inlineStr">
        <is>
          <t>hp</t>
        </is>
      </c>
      <c r="D50" s="32">
        <f>IFERROR($B$50*0.7456999,NA())</f>
        <v/>
      </c>
      <c r="E50" s="30" t="inlineStr">
        <is>
          <t>kW</t>
        </is>
      </c>
    </row>
    <row r="51">
      <c r="A51" s="28" t="inlineStr">
        <is>
          <t>Horsepower safety factor</t>
        </is>
      </c>
      <c r="B51" s="41" t="n">
        <v>1.3</v>
      </c>
      <c r="C51" s="30" t="inlineStr"/>
    </row>
    <row r="52">
      <c r="A52" s="28" t="inlineStr">
        <is>
          <t>Ordered horsepower</t>
        </is>
      </c>
      <c r="B52" s="59">
        <f>$B$50*$B$51</f>
        <v/>
      </c>
      <c r="C52" s="30" t="inlineStr">
        <is>
          <t>hp</t>
        </is>
      </c>
      <c r="D52" s="32">
        <f>IFERROR($B$52*0.7456999,NA())</f>
        <v/>
      </c>
      <c r="E52" s="30" t="inlineStr">
        <is>
          <t>kW</t>
        </is>
      </c>
    </row>
    <row r="54">
      <c r="A54" s="25" t="inlineStr">
        <is>
          <t>Net Pressure &amp; Injectivity</t>
        </is>
      </c>
      <c r="B54" s="26" t="n"/>
      <c r="C54" s="26" t="n"/>
      <c r="D54" s="26" t="n"/>
      <c r="E54" s="26" t="n"/>
      <c r="F54" s="49" t="inlineStr">
        <is>
          <t>P_net = BHTP - P_closure;   II = Q / (BHTP - P_res)</t>
        </is>
      </c>
    </row>
    <row r="55">
      <c r="A55" t="inlineStr"/>
      <c r="F55" s="27" t="inlineStr">
        <is>
          <t>Net pressure drives fracture width/height growth. Injectivity index from the treating condition. Uses BHTP, closure and Q from above.</t>
        </is>
      </c>
    </row>
    <row r="56">
      <c r="A56" s="28" t="inlineStr">
        <is>
          <t>Reservoir pressure (P_res)</t>
        </is>
      </c>
      <c r="B56" s="31" t="n">
        <v>4500</v>
      </c>
      <c r="C56" s="30" t="inlineStr">
        <is>
          <t>psi</t>
        </is>
      </c>
      <c r="D56" s="32">
        <f>IFERROR($B$56*6.894757,NA())</f>
        <v/>
      </c>
      <c r="E56" s="30" t="inlineStr">
        <is>
          <t>kPa</t>
        </is>
      </c>
    </row>
    <row r="57">
      <c r="A57" s="28" t="inlineStr">
        <is>
          <t>Net pressure (P_net)</t>
        </is>
      </c>
      <c r="B57" s="59">
        <f>$B$25-$B$17</f>
        <v/>
      </c>
      <c r="C57" s="30" t="inlineStr">
        <is>
          <t>psi</t>
        </is>
      </c>
      <c r="D57" s="32">
        <f>IFERROR($B$57*6.894757,NA())</f>
        <v/>
      </c>
      <c r="E57" s="30" t="inlineStr">
        <is>
          <t>kPa</t>
        </is>
      </c>
    </row>
    <row r="58">
      <c r="A58" s="28" t="inlineStr">
        <is>
          <t>Injectivity index (II)</t>
        </is>
      </c>
      <c r="B58" s="58">
        <f>$B$31/($B$25-$B$56)</f>
        <v/>
      </c>
      <c r="C58" s="30" t="inlineStr"/>
      <c r="F58" s="27" t="inlineStr">
        <is>
          <t>bpm per psi</t>
        </is>
      </c>
    </row>
    <row r="60">
      <c r="A60" s="25" t="inlineStr">
        <is>
          <t>Max Surface Pressure vs Tubular Limit</t>
        </is>
      </c>
      <c r="B60" s="26" t="n"/>
      <c r="C60" s="26" t="n"/>
      <c r="D60" s="26" t="n"/>
      <c r="E60" s="26" t="n"/>
      <c r="F60" s="49" t="inlineStr">
        <is>
          <t>Margin = P_limit - STP</t>
        </is>
      </c>
    </row>
    <row r="61">
      <c r="A61" t="inlineStr"/>
      <c r="F61" s="27" t="inlineStr">
        <is>
          <t>P_limit = lowest derated burst / wellhead / treating iron working pressure in the load path. Uses STP from above.</t>
        </is>
      </c>
    </row>
    <row r="62">
      <c r="A62" s="28" t="inlineStr">
        <is>
          <t>Weakest limit in load path (P_limit)</t>
        </is>
      </c>
      <c r="B62" s="31" t="n">
        <v>5000</v>
      </c>
      <c r="C62" s="30" t="inlineStr">
        <is>
          <t>psi</t>
        </is>
      </c>
      <c r="D62" s="32">
        <f>IFERROR($B$62*6.894757,NA())</f>
        <v/>
      </c>
      <c r="E62" s="30" t="inlineStr">
        <is>
          <t>kPa</t>
        </is>
      </c>
    </row>
    <row r="63">
      <c r="A63" s="28" t="inlineStr">
        <is>
          <t>Margin to limit</t>
        </is>
      </c>
      <c r="B63" s="59">
        <f>$B$62-$B$46</f>
        <v/>
      </c>
      <c r="C63" s="30" t="inlineStr">
        <is>
          <t>psi</t>
        </is>
      </c>
      <c r="D63" s="32">
        <f>IFERROR($B$63*6.894757,NA())</f>
        <v/>
      </c>
      <c r="E63" s="30" t="inlineStr">
        <is>
          <t>kPa</t>
        </is>
      </c>
    </row>
    <row r="64">
      <c r="A64" s="28" t="inlineStr">
        <is>
          <t>Status</t>
        </is>
      </c>
      <c r="B64" s="72">
        <f>IF($B$63&lt;0,"EXCEEDS LIMIT - REDESIGN",IF($B$63&lt;500,"OK - LOW MARGIN","OK"))</f>
        <v/>
      </c>
      <c r="C64" s="30" t="inlineStr"/>
      <c r="F64" s="27" t="inlineStr">
        <is>
          <t>Text result; set trip/pop-off below the limit.</t>
        </is>
      </c>
    </row>
    <row r="66" ht="20" customHeight="1">
      <c r="A66" s="23" t="inlineStr">
        <is>
          <t>Fluid &amp; Proppant Totals</t>
        </is>
      </c>
      <c r="B66" s="24" t="n"/>
      <c r="C66" s="24" t="n"/>
      <c r="D66" s="24" t="n"/>
      <c r="E66" s="24" t="n"/>
      <c r="F66" s="24" t="n"/>
    </row>
    <row r="68">
      <c r="A68" s="25" t="inlineStr">
        <is>
          <t>Clean / Dirty Volume &amp; Proppant Mass</t>
        </is>
      </c>
      <c r="B68" s="26" t="n"/>
      <c r="C68" s="26" t="n"/>
      <c r="D68" s="26" t="n"/>
      <c r="E68" s="26" t="n"/>
      <c r="F68" s="49" t="inlineStr">
        <is>
          <t>M_prop = V_clean x ppa;   V_dirty = V_clean x (1 + ppa x AV);   pad fraction = V_pad / V_clean</t>
        </is>
      </c>
    </row>
    <row r="69">
      <c r="A69" t="inlineStr"/>
      <c r="F69" s="27" t="inlineStr">
        <is>
          <t>ppa = average proppant added per clean gallon (lb/gal). AV = proppant absolute volume, gal/lb (0.0453 for sand SG 2.65). Stage totals at the average concentration - use the pump schedule for stage-by-stage numbers.</t>
        </is>
      </c>
    </row>
    <row r="70">
      <c r="A70" s="28" t="inlineStr">
        <is>
          <t>Clean fluid volume (V_clean)</t>
        </is>
      </c>
      <c r="B70" s="31" t="n">
        <v>50000</v>
      </c>
      <c r="C70" s="30" t="inlineStr">
        <is>
          <t>gal</t>
        </is>
      </c>
      <c r="D70" s="32">
        <f>IFERROR($B$70*3.785412,NA())</f>
        <v/>
      </c>
      <c r="E70" s="30" t="inlineStr">
        <is>
          <t>L</t>
        </is>
      </c>
    </row>
    <row r="71">
      <c r="A71" s="28" t="inlineStr">
        <is>
          <t>Average proppant concentration (ppa)</t>
        </is>
      </c>
      <c r="B71" s="41" t="n">
        <v>2</v>
      </c>
      <c r="C71" s="30" t="inlineStr"/>
      <c r="F71" s="27" t="inlineStr">
        <is>
          <t>lb proppant per clean gal</t>
        </is>
      </c>
    </row>
    <row r="72">
      <c r="A72" s="28" t="inlineStr">
        <is>
          <t>Proppant absolute volume (AV)</t>
        </is>
      </c>
      <c r="B72" s="38" t="n">
        <v>0.0453</v>
      </c>
      <c r="C72" s="30" t="inlineStr"/>
      <c r="F72" s="27" t="inlineStr">
        <is>
          <t>gal per lb (sand 0.0453)</t>
        </is>
      </c>
    </row>
    <row r="73">
      <c r="A73" s="28" t="inlineStr">
        <is>
          <t>Pad volume (V_pad)</t>
        </is>
      </c>
      <c r="B73" s="31" t="n">
        <v>15000</v>
      </c>
      <c r="C73" s="30" t="inlineStr">
        <is>
          <t>gal</t>
        </is>
      </c>
      <c r="D73" s="32">
        <f>IFERROR($B$73*3.785412,NA())</f>
        <v/>
      </c>
      <c r="E73" s="30" t="inlineStr">
        <is>
          <t>L</t>
        </is>
      </c>
    </row>
    <row r="74">
      <c r="A74" s="28" t="inlineStr">
        <is>
          <t>Proppant mass</t>
        </is>
      </c>
      <c r="B74" s="59">
        <f>$B$70*$B$71</f>
        <v/>
      </c>
      <c r="C74" s="30" t="inlineStr">
        <is>
          <t>lbm</t>
        </is>
      </c>
      <c r="D74" s="32">
        <f>IFERROR($B$74*0.4535924,NA())</f>
        <v/>
      </c>
      <c r="E74" s="30" t="inlineStr">
        <is>
          <t>kg</t>
        </is>
      </c>
    </row>
    <row r="75">
      <c r="A75" s="28" t="inlineStr">
        <is>
          <t>Proppant mass</t>
        </is>
      </c>
      <c r="B75" s="60">
        <f>$B$74/2000</f>
        <v/>
      </c>
      <c r="C75" s="30" t="inlineStr"/>
      <c r="F75" s="27" t="inlineStr">
        <is>
          <t>short tons</t>
        </is>
      </c>
    </row>
    <row r="76">
      <c r="A76" s="28" t="inlineStr">
        <is>
          <t>Dirty (slurry) volume</t>
        </is>
      </c>
      <c r="B76" s="59">
        <f>$B$70*(1+$B$71*$B$72)</f>
        <v/>
      </c>
      <c r="C76" s="30" t="inlineStr">
        <is>
          <t>gal</t>
        </is>
      </c>
      <c r="D76" s="32">
        <f>IFERROR($B$76*3.785412,NA())</f>
        <v/>
      </c>
      <c r="E76" s="30" t="inlineStr">
        <is>
          <t>L</t>
        </is>
      </c>
    </row>
    <row r="77">
      <c r="A77" s="28" t="inlineStr">
        <is>
          <t>Dirty (slurry) volume</t>
        </is>
      </c>
      <c r="B77" s="59">
        <f>$B$70*(1+$B$71*$B$72)/42</f>
        <v/>
      </c>
      <c r="C77" s="30" t="inlineStr">
        <is>
          <t>bbl</t>
        </is>
      </c>
      <c r="D77" s="32">
        <f>IFERROR($B$77*0.1589873,NA())</f>
        <v/>
      </c>
      <c r="E77" s="30" t="inlineStr">
        <is>
          <t>m3</t>
        </is>
      </c>
    </row>
    <row r="78">
      <c r="A78" s="28" t="inlineStr">
        <is>
          <t>Pad fraction</t>
        </is>
      </c>
      <c r="B78" s="54">
        <f>$B$73/$B$70*100</f>
        <v/>
      </c>
      <c r="C78" s="30" t="inlineStr"/>
      <c r="F78" s="27" t="inlineStr">
        <is>
          <t>percent of clean volume</t>
        </is>
      </c>
    </row>
    <row r="80" ht="20" customHeight="1">
      <c r="A80" s="23" t="inlineStr">
        <is>
          <t>Matrix Acidizing</t>
        </is>
      </c>
      <c r="B80" s="24" t="n"/>
      <c r="C80" s="24" t="n"/>
      <c r="D80" s="24" t="n"/>
      <c r="E80" s="24" t="n"/>
      <c r="F80" s="24" t="n"/>
    </row>
    <row r="82">
      <c r="A82" s="25" t="inlineStr">
        <is>
          <t>Acid Volume &amp; Dissolving Power</t>
        </is>
      </c>
      <c r="B82" s="26" t="n"/>
      <c r="C82" s="26" t="n"/>
      <c r="D82" s="26" t="n"/>
      <c r="E82" s="26" t="n"/>
      <c r="F82" s="49" t="inlineStr">
        <is>
          <t>V_acid = (gal/ft) x interval;   M_rock = DP x V_acid;   V_rock = M_rock / rho_rock</t>
        </is>
      </c>
    </row>
    <row r="83">
      <c r="A83" t="inlineStr"/>
      <c r="F83" s="27" t="inlineStr">
        <is>
          <t>Coverage rule-of-thumb 50-100 gal/ft for carbonate matrix wormholing. DP = dissolving power: 15 pct HCl dissolves approx 1.84 lb CaCO3 per gallon (equivalently approx 10.8 ft3 of rock per 1000 gal). Limestone approx 169 lb/ft3. Spend/contact time and wormhole efficiency depend on temperature and rate - approximate planning numbers only.</t>
        </is>
      </c>
    </row>
    <row r="84">
      <c r="A84" s="28" t="inlineStr">
        <is>
          <t>Acid coverage</t>
        </is>
      </c>
      <c r="B84" s="31" t="n">
        <v>75</v>
      </c>
      <c r="C84" s="30" t="inlineStr"/>
      <c r="F84" s="27" t="inlineStr">
        <is>
          <t>gal per ft of interval</t>
        </is>
      </c>
    </row>
    <row r="85">
      <c r="A85" s="28" t="inlineStr">
        <is>
          <t>Treated interval</t>
        </is>
      </c>
      <c r="B85" s="31" t="n">
        <v>40</v>
      </c>
      <c r="C85" s="30" t="inlineStr">
        <is>
          <t>ft</t>
        </is>
      </c>
      <c r="D85" s="32">
        <f>IFERROR($B$85*0.3048,NA())</f>
        <v/>
      </c>
      <c r="E85" s="30" t="inlineStr">
        <is>
          <t>m</t>
        </is>
      </c>
    </row>
    <row r="86">
      <c r="A86" s="28" t="inlineStr">
        <is>
          <t>Dissolving power (DP)</t>
        </is>
      </c>
      <c r="B86" s="41" t="n">
        <v>1.84</v>
      </c>
      <c r="C86" s="30" t="inlineStr"/>
      <c r="F86" s="27" t="inlineStr">
        <is>
          <t>lb CaCO3 per gal acid (1.84 for 15 pct HCl)</t>
        </is>
      </c>
    </row>
    <row r="87">
      <c r="A87" s="28" t="inlineStr">
        <is>
          <t>Rock density</t>
        </is>
      </c>
      <c r="B87" s="31" t="n">
        <v>169</v>
      </c>
      <c r="C87" s="30" t="inlineStr"/>
      <c r="F87" s="27" t="inlineStr">
        <is>
          <t>lb/ft3 (limestone approx 169)</t>
        </is>
      </c>
    </row>
    <row r="88">
      <c r="A88" s="28" t="inlineStr">
        <is>
          <t>Total acid volume</t>
        </is>
      </c>
      <c r="B88" s="59">
        <f>$B$84*$B$85</f>
        <v/>
      </c>
      <c r="C88" s="30" t="inlineStr">
        <is>
          <t>gal</t>
        </is>
      </c>
      <c r="D88" s="32">
        <f>IFERROR($B$88*3.785412,NA())</f>
        <v/>
      </c>
      <c r="E88" s="30" t="inlineStr">
        <is>
          <t>L</t>
        </is>
      </c>
    </row>
    <row r="89">
      <c r="A89" s="28" t="inlineStr">
        <is>
          <t>Rock dissolved (mass)</t>
        </is>
      </c>
      <c r="B89" s="59">
        <f>$B$86*$B$88</f>
        <v/>
      </c>
      <c r="C89" s="30" t="inlineStr">
        <is>
          <t>lbm</t>
        </is>
      </c>
      <c r="D89" s="32">
        <f>IFERROR($B$89*0.4535924,NA())</f>
        <v/>
      </c>
      <c r="E89" s="30" t="inlineStr">
        <is>
          <t>kg</t>
        </is>
      </c>
    </row>
    <row r="90">
      <c r="A90" s="28" t="inlineStr">
        <is>
          <t>Rock dissolved (volume)</t>
        </is>
      </c>
      <c r="B90" s="54">
        <f>$B$89/$B$87</f>
        <v/>
      </c>
      <c r="C90" s="30" t="inlineStr">
        <is>
          <t>ft3</t>
        </is>
      </c>
      <c r="D90" s="40">
        <f>IFERROR($B$90*0.02831685,NA())</f>
        <v/>
      </c>
      <c r="E90" s="30" t="inlineStr">
        <is>
          <t>m3</t>
        </is>
      </c>
    </row>
    <row r="92">
      <c r="A92" s="25" t="inlineStr">
        <is>
          <t>Ball Sealer Count</t>
        </is>
      </c>
      <c r="B92" s="26" t="n"/>
      <c r="C92" s="26" t="n"/>
      <c r="D92" s="26" t="n"/>
      <c r="E92" s="26" t="n"/>
      <c r="F92" s="49" t="inlineStr">
        <is>
          <t>Balls = ROUNDUP(N_perfs x excess, 0)</t>
        </is>
      </c>
    </row>
    <row r="93">
      <c r="A93" t="inlineStr"/>
      <c r="F93" s="27" t="inlineStr">
        <is>
          <t>Typical excess factor 1.5 - 2.0 x the open perforation count to get effective diversion.</t>
        </is>
      </c>
    </row>
    <row r="94">
      <c r="A94" s="28" t="inlineStr">
        <is>
          <t>Open perforations (N_perfs)</t>
        </is>
      </c>
      <c r="B94" s="31" t="n">
        <v>96</v>
      </c>
      <c r="C94" s="30" t="inlineStr"/>
    </row>
    <row r="95">
      <c r="A95" s="28" t="inlineStr">
        <is>
          <t>Excess factor</t>
        </is>
      </c>
      <c r="B95" s="37" t="n">
        <v>1.5</v>
      </c>
      <c r="C95" s="30" t="inlineStr"/>
    </row>
    <row r="96">
      <c r="A96" s="28" t="inlineStr">
        <is>
          <t>Ball sealers to pump</t>
        </is>
      </c>
      <c r="B96" s="59">
        <f>ROUNDUP(ROUND($B$94*$B$95,6),0)</f>
        <v/>
      </c>
      <c r="C96" s="30" t="inlineStr"/>
    </row>
  </sheetData>
  <sheetProtection selectLockedCells="0" selectUnlockedCells="0" sheet="1" objects="0" insertRows="1" insertHyperlinks="1" autoFilter="1" scenarios="0" formatColumns="0" deleteColumns="1" insertColumns="1" pivotTables="1" deleteRows="1" formatCells="1" formatRows="0" sort="1"/>
  <mergeCells count="6">
    <mergeCell ref="A2:F2"/>
    <mergeCell ref="A66:F66"/>
    <mergeCell ref="A1:F1"/>
    <mergeCell ref="A80:F80"/>
    <mergeCell ref="A27:F27"/>
    <mergeCell ref="A6:F6"/>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29.xml><?xml version="1.0" encoding="utf-8"?>
<worksheet xmlns="http://schemas.openxmlformats.org/spreadsheetml/2006/main">
  <sheetPr>
    <tabColor rgb="00548235"/>
    <outlinePr summaryBelow="1" summaryRight="1"/>
    <pageSetUpPr/>
  </sheetPr>
  <dimension ref="A1:F68"/>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Inflow &amp; Productivity</t>
        </is>
      </c>
      <c r="B1" s="2" t="n"/>
      <c r="C1" s="2" t="n"/>
      <c r="D1" s="2" t="n"/>
      <c r="E1" s="2" t="n"/>
      <c r="F1" s="2" t="n"/>
    </row>
    <row r="2">
      <c r="A2" s="20" t="inlineStr">
        <is>
          <t>Productivity index, Darcy radial inflow, Vogel IPR, gas backpressure deliverability, skin effects</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Productivity Index</t>
        </is>
      </c>
      <c r="B6" s="24" t="n"/>
      <c r="C6" s="24" t="n"/>
      <c r="D6" s="24" t="n"/>
      <c r="E6" s="24" t="n"/>
      <c r="F6" s="24" t="n"/>
    </row>
    <row r="8">
      <c r="A8" s="25" t="inlineStr">
        <is>
          <t>Productivity Index from a Test Point</t>
        </is>
      </c>
      <c r="B8" s="26" t="n"/>
      <c r="C8" s="26" t="n"/>
      <c r="D8" s="26" t="n"/>
      <c r="E8" s="26" t="n"/>
      <c r="F8" s="49" t="inlineStr">
        <is>
          <t>J [STB/d/psi] = Q / (P_r - P_wf)</t>
        </is>
      </c>
    </row>
    <row r="9">
      <c r="A9" t="inlineStr"/>
      <c r="F9" s="27" t="inlineStr">
        <is>
          <t>Straight-line PI; valid for single-phase liquid inflow (P_wf above bubble point). Use Vogel below the bubble point.</t>
        </is>
      </c>
    </row>
    <row r="10">
      <c r="A10" s="28" t="inlineStr">
        <is>
          <t>Test rate (Q)</t>
        </is>
      </c>
      <c r="B10" s="31" t="n">
        <v>500</v>
      </c>
      <c r="C10" s="30" t="inlineStr">
        <is>
          <t>STB/d</t>
        </is>
      </c>
      <c r="D10" s="32">
        <f>IFERROR($B$10*0.1589873,NA())</f>
        <v/>
      </c>
      <c r="E10" s="30" t="inlineStr">
        <is>
          <t>m3/d</t>
        </is>
      </c>
    </row>
    <row r="11">
      <c r="A11" s="28" t="inlineStr">
        <is>
          <t>Average reservoir pressure (P_r)</t>
        </is>
      </c>
      <c r="B11" s="31" t="n">
        <v>3000</v>
      </c>
      <c r="C11" s="30" t="inlineStr">
        <is>
          <t>psi</t>
        </is>
      </c>
      <c r="D11" s="32">
        <f>IFERROR($B$11*6.894757,NA())</f>
        <v/>
      </c>
      <c r="E11" s="30" t="inlineStr">
        <is>
          <t>kPa</t>
        </is>
      </c>
    </row>
    <row r="12">
      <c r="A12" s="28" t="inlineStr">
        <is>
          <t>Flowing bottomhole pressure (P_wf)</t>
        </is>
      </c>
      <c r="B12" s="31" t="n">
        <v>2500</v>
      </c>
      <c r="C12" s="30" t="inlineStr">
        <is>
          <t>psi</t>
        </is>
      </c>
      <c r="D12" s="32">
        <f>IFERROR($B$12*6.894757,NA())</f>
        <v/>
      </c>
      <c r="E12" s="30" t="inlineStr">
        <is>
          <t>kPa</t>
        </is>
      </c>
    </row>
    <row r="13">
      <c r="A13" s="28" t="inlineStr">
        <is>
          <t>Productivity index (J)</t>
        </is>
      </c>
      <c r="B13" s="50">
        <f>$B$10/($B$11-$B$12)</f>
        <v/>
      </c>
      <c r="C13" s="30" t="inlineStr"/>
      <c r="F13" s="27" t="inlineStr">
        <is>
          <t>STB/d per psi</t>
        </is>
      </c>
    </row>
    <row r="15">
      <c r="A15" s="25" t="inlineStr">
        <is>
          <t>Rate at a Target Drawdown</t>
        </is>
      </c>
      <c r="B15" s="26" t="n"/>
      <c r="C15" s="26" t="n"/>
      <c r="D15" s="26" t="n"/>
      <c r="E15" s="26" t="n"/>
      <c r="F15" s="49" t="inlineStr">
        <is>
          <t>Q = J x dP_drawdown</t>
        </is>
      </c>
    </row>
    <row r="16">
      <c r="A16" t="inlineStr"/>
      <c r="F16" s="27" t="inlineStr">
        <is>
          <t>Uses J from the test above.</t>
        </is>
      </c>
    </row>
    <row r="17">
      <c r="A17" s="28" t="inlineStr">
        <is>
          <t>Target drawdown (dP)</t>
        </is>
      </c>
      <c r="B17" s="31" t="n">
        <v>800</v>
      </c>
      <c r="C17" s="30" t="inlineStr">
        <is>
          <t>psi</t>
        </is>
      </c>
      <c r="D17" s="32">
        <f>IFERROR($B$17*6.894757,NA())</f>
        <v/>
      </c>
      <c r="E17" s="30" t="inlineStr">
        <is>
          <t>kPa</t>
        </is>
      </c>
    </row>
    <row r="18">
      <c r="A18" s="28" t="inlineStr">
        <is>
          <t>Expected rate</t>
        </is>
      </c>
      <c r="B18" s="59">
        <f>$B$13*$B$17</f>
        <v/>
      </c>
      <c r="C18" s="30" t="inlineStr">
        <is>
          <t>STB/d</t>
        </is>
      </c>
      <c r="D18" s="32">
        <f>IFERROR($B$18*0.1589873,NA())</f>
        <v/>
      </c>
      <c r="E18" s="30" t="inlineStr">
        <is>
          <t>m3/d</t>
        </is>
      </c>
    </row>
    <row r="20" ht="20" customHeight="1">
      <c r="A20" s="23" t="inlineStr">
        <is>
          <t>Darcy Radial Inflow (Oil)</t>
        </is>
      </c>
      <c r="B20" s="24" t="n"/>
      <c r="C20" s="24" t="n"/>
      <c r="D20" s="24" t="n"/>
      <c r="E20" s="24" t="n"/>
      <c r="F20" s="24" t="n"/>
    </row>
    <row r="22">
      <c r="A22" s="25" t="inlineStr">
        <is>
          <t>Steady-State Radial Oil Rate</t>
        </is>
      </c>
      <c r="B22" s="26" t="n"/>
      <c r="C22" s="26" t="n"/>
      <c r="D22" s="26" t="n"/>
      <c r="E22" s="26" t="n"/>
      <c r="F22" s="49" t="inlineStr">
        <is>
          <t>Q = k x h x (P_r - P_wf) / (141.2 x B x mu x (LN(re/rw) + s))</t>
        </is>
      </c>
    </row>
    <row r="23">
      <c r="A23" t="inlineStr"/>
      <c r="F23" s="27" t="inlineStr">
        <is>
          <t>Darcy radial steady-state, field units: k mD, h ft, P psi, B RB/STB, mu cP. Valid above the bubble point (single-phase oil).</t>
        </is>
      </c>
    </row>
    <row r="24">
      <c r="A24" s="28" t="inlineStr">
        <is>
          <t>Permeability (k)</t>
        </is>
      </c>
      <c r="B24" s="85" t="n">
        <v>100</v>
      </c>
      <c r="C24" s="30" t="inlineStr">
        <is>
          <t>mD</t>
        </is>
      </c>
      <c r="D24" s="61">
        <f>IFERROR($B$24*0.9869233,NA())</f>
        <v/>
      </c>
      <c r="E24" s="30" t="inlineStr">
        <is>
          <t>um2 x1e-3</t>
        </is>
      </c>
    </row>
    <row r="25">
      <c r="A25" s="28" t="inlineStr">
        <is>
          <t>Net pay thickness (h)</t>
        </is>
      </c>
      <c r="B25" s="31" t="n">
        <v>50</v>
      </c>
      <c r="C25" s="30" t="inlineStr">
        <is>
          <t>ft</t>
        </is>
      </c>
      <c r="D25" s="32">
        <f>IFERROR($B$25*0.3048,NA())</f>
        <v/>
      </c>
      <c r="E25" s="30" t="inlineStr">
        <is>
          <t>m</t>
        </is>
      </c>
    </row>
    <row r="26">
      <c r="A26" s="28" t="inlineStr">
        <is>
          <t>Reservoir pressure (P_r)</t>
        </is>
      </c>
      <c r="B26" s="31" t="n">
        <v>3000</v>
      </c>
      <c r="C26" s="30" t="inlineStr">
        <is>
          <t>psi</t>
        </is>
      </c>
      <c r="D26" s="32">
        <f>IFERROR($B$26*6.894757,NA())</f>
        <v/>
      </c>
      <c r="E26" s="30" t="inlineStr">
        <is>
          <t>kPa</t>
        </is>
      </c>
    </row>
    <row r="27">
      <c r="A27" s="28" t="inlineStr">
        <is>
          <t>Flowing pressure (P_wf)</t>
        </is>
      </c>
      <c r="B27" s="31" t="n">
        <v>2500</v>
      </c>
      <c r="C27" s="30" t="inlineStr">
        <is>
          <t>psi</t>
        </is>
      </c>
      <c r="D27" s="32">
        <f>IFERROR($B$27*6.894757,NA())</f>
        <v/>
      </c>
      <c r="E27" s="30" t="inlineStr">
        <is>
          <t>kPa</t>
        </is>
      </c>
    </row>
    <row r="28">
      <c r="A28" s="28" t="inlineStr">
        <is>
          <t>Formation volume factor (B)</t>
        </is>
      </c>
      <c r="B28" s="33" t="n">
        <v>1.2</v>
      </c>
      <c r="C28" s="30" t="inlineStr"/>
      <c r="F28" s="27" t="inlineStr">
        <is>
          <t>RB/STB</t>
        </is>
      </c>
    </row>
    <row r="29">
      <c r="A29" s="28" t="inlineStr">
        <is>
          <t>Oil viscosity (mu)</t>
        </is>
      </c>
      <c r="B29" s="41" t="n">
        <v>1.5</v>
      </c>
      <c r="C29" s="30" t="inlineStr"/>
      <c r="D29" s="42">
        <f>IFERROR($B$29*1.0,NA())</f>
        <v/>
      </c>
      <c r="E29" s="30" t="inlineStr">
        <is>
          <t>mPa-s</t>
        </is>
      </c>
      <c r="F29" s="27" t="inlineStr">
        <is>
          <t>cP</t>
        </is>
      </c>
    </row>
    <row r="30">
      <c r="A30" s="28" t="inlineStr">
        <is>
          <t>Drainage radius (re)</t>
        </is>
      </c>
      <c r="B30" s="31" t="n">
        <v>1500</v>
      </c>
      <c r="C30" s="30" t="inlineStr">
        <is>
          <t>ft</t>
        </is>
      </c>
      <c r="D30" s="32">
        <f>IFERROR($B$30*0.3048,NA())</f>
        <v/>
      </c>
      <c r="E30" s="30" t="inlineStr">
        <is>
          <t>m</t>
        </is>
      </c>
    </row>
    <row r="31">
      <c r="A31" s="28" t="inlineStr">
        <is>
          <t>Wellbore radius (rw)</t>
        </is>
      </c>
      <c r="B31" s="33" t="n">
        <v>0.354</v>
      </c>
      <c r="C31" s="30" t="inlineStr">
        <is>
          <t>ft</t>
        </is>
      </c>
      <c r="D31" s="34">
        <f>IFERROR($B$31*0.3048,NA())</f>
        <v/>
      </c>
      <c r="E31" s="30" t="inlineStr">
        <is>
          <t>m</t>
        </is>
      </c>
    </row>
    <row r="32">
      <c r="A32" s="28" t="inlineStr">
        <is>
          <t>Skin factor (s)</t>
        </is>
      </c>
      <c r="B32" s="37" t="n">
        <v>5</v>
      </c>
      <c r="C32" s="30" t="inlineStr"/>
      <c r="F32" s="27" t="inlineStr">
        <is>
          <t>Dimensionless; positive = damage.</t>
        </is>
      </c>
    </row>
    <row r="33">
      <c r="A33" s="28" t="inlineStr">
        <is>
          <t>Oil rate (Q)</t>
        </is>
      </c>
      <c r="B33" s="59">
        <f>$B$24*$B$25*($B$26-$B$27)/(141.2*$B$28*$B$29*(LN($B$30/$B$31)+$B$32))</f>
        <v/>
      </c>
      <c r="C33" s="30" t="inlineStr">
        <is>
          <t>STB/d</t>
        </is>
      </c>
      <c r="D33" s="32">
        <f>IFERROR($B$33*0.1589873,NA())</f>
        <v/>
      </c>
      <c r="E33" s="30" t="inlineStr">
        <is>
          <t>m3/d</t>
        </is>
      </c>
    </row>
    <row r="35">
      <c r="A35" s="25" t="inlineStr">
        <is>
          <t>Skin Pressure Drop &amp; Flow Efficiency</t>
        </is>
      </c>
      <c r="B35" s="26" t="n"/>
      <c r="C35" s="26" t="n"/>
      <c r="D35" s="26" t="n"/>
      <c r="E35" s="26" t="n"/>
      <c r="F35" s="49" t="inlineStr">
        <is>
          <t>dP_skin = 141.2 x Q x B x mu x s / (k x h);   FE = (P_r - P_wf - dP_skin) / (P_r - P_wf)</t>
        </is>
      </c>
    </row>
    <row r="36">
      <c r="A36" t="inlineStr"/>
      <c r="F36" s="27" t="inlineStr">
        <is>
          <t>Uses the Darcy inputs and rate above. FE = 1 for zero skin; FE &lt; 1 means damage is consuming drawdown.</t>
        </is>
      </c>
    </row>
    <row r="37">
      <c r="A37" s="28" t="inlineStr">
        <is>
          <t>Skin pressure drop (dP_skin)</t>
        </is>
      </c>
      <c r="B37" s="59">
        <f>141.2*$B$33*$B$28*$B$29*$B$32/($B$24*$B$25)</f>
        <v/>
      </c>
      <c r="C37" s="30" t="inlineStr">
        <is>
          <t>psi</t>
        </is>
      </c>
      <c r="D37" s="32">
        <f>IFERROR($B$37*6.894757,NA())</f>
        <v/>
      </c>
      <c r="E37" s="30" t="inlineStr">
        <is>
          <t>kPa</t>
        </is>
      </c>
    </row>
    <row r="38">
      <c r="A38" s="28" t="inlineStr">
        <is>
          <t>Flow efficiency (FE)</t>
        </is>
      </c>
      <c r="B38" s="50">
        <f>($B$26-$B$27-$B$37)/($B$26-$B$27)</f>
        <v/>
      </c>
      <c r="C38" s="30" t="inlineStr"/>
      <c r="F38" s="27" t="inlineStr">
        <is>
          <t>Dimensionless.</t>
        </is>
      </c>
    </row>
    <row r="40" ht="20" customHeight="1">
      <c r="A40" s="23" t="inlineStr">
        <is>
          <t>Vogel IPR (Solution-Gas Drive)</t>
        </is>
      </c>
      <c r="B40" s="24" t="n"/>
      <c r="C40" s="24" t="n"/>
      <c r="D40" s="24" t="n"/>
      <c r="E40" s="24" t="n"/>
      <c r="F40" s="24" t="n"/>
    </row>
    <row r="42">
      <c r="A42" s="25" t="inlineStr">
        <is>
          <t>Vogel Qmax from a Test Point</t>
        </is>
      </c>
      <c r="B42" s="26" t="n"/>
      <c r="C42" s="26" t="n"/>
      <c r="D42" s="26" t="n"/>
      <c r="E42" s="26" t="n"/>
      <c r="F42" s="49" t="inlineStr">
        <is>
          <t>Qmax = Q_test / (1 - 0.2 x (P_wf/P_r) - 0.8 x (P_wf/P_r)^2)</t>
        </is>
      </c>
    </row>
    <row r="43">
      <c r="A43" t="inlineStr"/>
      <c r="F43" s="27" t="inlineStr">
        <is>
          <t>Vogel two-phase IPR for solution-gas drive reservoirs below the bubble point. Above the bubble point use straight-line PI down to Pb, Vogel below (combined IPR).</t>
        </is>
      </c>
    </row>
    <row r="44">
      <c r="A44" s="28" t="inlineStr">
        <is>
          <t>Average reservoir pressure (P_r)</t>
        </is>
      </c>
      <c r="B44" s="31" t="n">
        <v>3000</v>
      </c>
      <c r="C44" s="30" t="inlineStr">
        <is>
          <t>psi</t>
        </is>
      </c>
      <c r="D44" s="32">
        <f>IFERROR($B$44*6.894757,NA())</f>
        <v/>
      </c>
      <c r="E44" s="30" t="inlineStr">
        <is>
          <t>kPa</t>
        </is>
      </c>
    </row>
    <row r="45">
      <c r="A45" s="28" t="inlineStr">
        <is>
          <t>Test rate (Q_test)</t>
        </is>
      </c>
      <c r="B45" s="31" t="n">
        <v>400</v>
      </c>
      <c r="C45" s="30" t="inlineStr">
        <is>
          <t>STB/d</t>
        </is>
      </c>
      <c r="D45" s="32">
        <f>IFERROR($B$45*0.1589873,NA())</f>
        <v/>
      </c>
      <c r="E45" s="30" t="inlineStr">
        <is>
          <t>m3/d</t>
        </is>
      </c>
    </row>
    <row r="46">
      <c r="A46" s="28" t="inlineStr">
        <is>
          <t>Test flowing pressure (P_wf_test)</t>
        </is>
      </c>
      <c r="B46" s="31" t="n">
        <v>2000</v>
      </c>
      <c r="C46" s="30" t="inlineStr">
        <is>
          <t>psi</t>
        </is>
      </c>
      <c r="D46" s="32">
        <f>IFERROR($B$46*6.894757,NA())</f>
        <v/>
      </c>
      <c r="E46" s="30" t="inlineStr">
        <is>
          <t>kPa</t>
        </is>
      </c>
    </row>
    <row r="47">
      <c r="A47" s="28" t="inlineStr">
        <is>
          <t>Vogel Qmax (AOF)</t>
        </is>
      </c>
      <c r="B47" s="59">
        <f>$B$45/(1-0.2*($B$46/$B$44)-0.8*($B$46/$B$44)^2)</f>
        <v/>
      </c>
      <c r="C47" s="30" t="inlineStr">
        <is>
          <t>STB/d</t>
        </is>
      </c>
      <c r="D47" s="32">
        <f>IFERROR($B$47*0.1589873,NA())</f>
        <v/>
      </c>
      <c r="E47" s="30" t="inlineStr">
        <is>
          <t>m3/d</t>
        </is>
      </c>
    </row>
    <row r="49">
      <c r="A49" s="25" t="inlineStr">
        <is>
          <t>Vogel Rate at a Given P_wf</t>
        </is>
      </c>
      <c r="B49" s="26" t="n"/>
      <c r="C49" s="26" t="n"/>
      <c r="D49" s="26" t="n"/>
      <c r="E49" s="26" t="n"/>
      <c r="F49" s="49" t="inlineStr">
        <is>
          <t>Q = Qmax x (1 - 0.2 x (P_wf/P_r) - 0.8 x (P_wf/P_r)^2)</t>
        </is>
      </c>
    </row>
    <row r="50">
      <c r="A50" t="inlineStr"/>
      <c r="F50" s="27" t="inlineStr">
        <is>
          <t>Uses Qmax and P_r from above.</t>
        </is>
      </c>
    </row>
    <row r="51">
      <c r="A51" s="28" t="inlineStr">
        <is>
          <t>Design flowing pressure (P_wf)</t>
        </is>
      </c>
      <c r="B51" s="31" t="n">
        <v>1000</v>
      </c>
      <c r="C51" s="30" t="inlineStr">
        <is>
          <t>psi</t>
        </is>
      </c>
      <c r="D51" s="32">
        <f>IFERROR($B$51*6.894757,NA())</f>
        <v/>
      </c>
      <c r="E51" s="30" t="inlineStr">
        <is>
          <t>kPa</t>
        </is>
      </c>
    </row>
    <row r="52">
      <c r="A52" s="28" t="inlineStr">
        <is>
          <t>Expected rate (Q)</t>
        </is>
      </c>
      <c r="B52" s="59">
        <f>$B$47*(1-0.2*($B$51/$B$44)-0.8*($B$51/$B$44)^2)</f>
        <v/>
      </c>
      <c r="C52" s="30" t="inlineStr">
        <is>
          <t>STB/d</t>
        </is>
      </c>
      <c r="D52" s="32">
        <f>IFERROR($B$52*0.1589873,NA())</f>
        <v/>
      </c>
      <c r="E52" s="30" t="inlineStr">
        <is>
          <t>m3/d</t>
        </is>
      </c>
    </row>
    <row r="54" ht="20" customHeight="1">
      <c r="A54" s="23" t="inlineStr">
        <is>
          <t>Gas Well Deliverability</t>
        </is>
      </c>
      <c r="B54" s="24" t="n"/>
      <c r="C54" s="24" t="n"/>
      <c r="D54" s="24" t="n"/>
      <c r="E54" s="24" t="n"/>
      <c r="F54" s="24" t="n"/>
    </row>
    <row r="56">
      <c r="A56" s="25" t="inlineStr">
        <is>
          <t>Backpressure (C and n) from a Test Point</t>
        </is>
      </c>
      <c r="B56" s="26" t="n"/>
      <c r="C56" s="26" t="n"/>
      <c r="D56" s="26" t="n"/>
      <c r="E56" s="26" t="n"/>
      <c r="F56" s="49" t="inlineStr">
        <is>
          <t>C = Q_test / (P_r^2 - P_wf^2)^n;   Q = C x (P_r^2 - P_wf^2)^n;   AOF at P_wf = 0</t>
        </is>
      </c>
    </row>
    <row r="57">
      <c r="A57" t="inlineStr"/>
      <c r="F57" s="27" t="inlineStr">
        <is>
          <t>Simplified Rawlins-Schellhardt backpressure equation using pressure-squared - adequate below approx 2500 psi; use pseudo-pressure at higher pressure. n from a multirate test: 1.0 = laminar, 0.5 = fully turbulent.</t>
        </is>
      </c>
    </row>
    <row r="58">
      <c r="A58" s="28" t="inlineStr">
        <is>
          <t>Reservoir pressure (P_r)</t>
        </is>
      </c>
      <c r="B58" s="31" t="n">
        <v>3000</v>
      </c>
      <c r="C58" s="30" t="inlineStr">
        <is>
          <t>psi</t>
        </is>
      </c>
      <c r="D58" s="32">
        <f>IFERROR($B$58*6.894757,NA())</f>
        <v/>
      </c>
      <c r="E58" s="30" t="inlineStr">
        <is>
          <t>kPa</t>
        </is>
      </c>
      <c r="F58" s="27" t="inlineStr">
        <is>
          <t>Use absolute pressure (psia).</t>
        </is>
      </c>
    </row>
    <row r="59">
      <c r="A59" s="28" t="inlineStr">
        <is>
          <t>Test rate (Q_test)</t>
        </is>
      </c>
      <c r="B59" s="31" t="n">
        <v>4000</v>
      </c>
      <c r="C59" s="30" t="inlineStr">
        <is>
          <t>Mscf/d</t>
        </is>
      </c>
      <c r="D59" s="32">
        <f>IFERROR($B$59*28.31685,NA())</f>
        <v/>
      </c>
      <c r="E59" s="30" t="inlineStr">
        <is>
          <t>std m3/d</t>
        </is>
      </c>
    </row>
    <row r="60">
      <c r="A60" s="28" t="inlineStr">
        <is>
          <t>Test flowing pressure (P_wf_test)</t>
        </is>
      </c>
      <c r="B60" s="31" t="n">
        <v>2500</v>
      </c>
      <c r="C60" s="30" t="inlineStr">
        <is>
          <t>psi</t>
        </is>
      </c>
      <c r="D60" s="32">
        <f>IFERROR($B$60*6.894757,NA())</f>
        <v/>
      </c>
      <c r="E60" s="30" t="inlineStr">
        <is>
          <t>kPa</t>
        </is>
      </c>
    </row>
    <row r="61">
      <c r="A61" s="28" t="inlineStr">
        <is>
          <t>Deliverability exponent (n)</t>
        </is>
      </c>
      <c r="B61" s="41" t="n">
        <v>0.8</v>
      </c>
      <c r="C61" s="30" t="inlineStr"/>
      <c r="F61" s="27" t="inlineStr">
        <is>
          <t>0.5 - 1.0</t>
        </is>
      </c>
    </row>
    <row r="62">
      <c r="A62" s="28" t="inlineStr">
        <is>
          <t>Performance coefficient (C)</t>
        </is>
      </c>
      <c r="B62" s="118">
        <f>$B$59/($B$58^2-$B$60^2)^$B$61</f>
        <v/>
      </c>
      <c r="C62" s="30" t="inlineStr"/>
      <c r="F62" s="27" t="inlineStr">
        <is>
          <t>Mscf/d per (psi2)^n</t>
        </is>
      </c>
    </row>
    <row r="63">
      <c r="A63" s="28" t="inlineStr">
        <is>
          <t>Design flowing pressure (P_wf)</t>
        </is>
      </c>
      <c r="B63" s="31" t="n">
        <v>1500</v>
      </c>
      <c r="C63" s="30" t="inlineStr">
        <is>
          <t>psi</t>
        </is>
      </c>
      <c r="D63" s="32">
        <f>IFERROR($B$63*6.894757,NA())</f>
        <v/>
      </c>
      <c r="E63" s="30" t="inlineStr">
        <is>
          <t>kPa</t>
        </is>
      </c>
    </row>
    <row r="64">
      <c r="A64" s="28" t="inlineStr">
        <is>
          <t>Rate at design P_wf</t>
        </is>
      </c>
      <c r="B64" s="59">
        <f>$B$62*($B$58^2-$B$63^2)^$B$61</f>
        <v/>
      </c>
      <c r="C64" s="30" t="inlineStr">
        <is>
          <t>Mscf/d</t>
        </is>
      </c>
      <c r="D64" s="32">
        <f>IFERROR($B$64*28.31685,NA())</f>
        <v/>
      </c>
      <c r="E64" s="30" t="inlineStr">
        <is>
          <t>std m3/d</t>
        </is>
      </c>
    </row>
    <row r="65">
      <c r="A65" s="28" t="inlineStr">
        <is>
          <t>Absolute open flow (AOF)</t>
        </is>
      </c>
      <c r="B65" s="59">
        <f>$B$62*($B$58^2)^$B$61</f>
        <v/>
      </c>
      <c r="C65" s="30" t="inlineStr">
        <is>
          <t>Mscf/d</t>
        </is>
      </c>
      <c r="D65" s="32">
        <f>IFERROR($B$65*28.31685,NA())</f>
        <v/>
      </c>
      <c r="E65" s="30" t="inlineStr">
        <is>
          <t>std m3/d</t>
        </is>
      </c>
      <c r="F65" s="27" t="inlineStr">
        <is>
          <t>Theoretical rate at atmospheric flowing pressure - ranking number only.</t>
        </is>
      </c>
    </row>
    <row r="67">
      <c r="A67" s="25" t="inlineStr">
        <is>
          <t>Water Coning Screening Note</t>
        </is>
      </c>
      <c r="B67" s="26" t="n"/>
      <c r="C67" s="26" t="n"/>
      <c r="D67" s="26" t="n"/>
      <c r="E67" s="26" t="n"/>
      <c r="F67" s="26" t="n"/>
    </row>
    <row r="68">
      <c r="A68" s="27" t="inlineStr">
        <is>
          <t>Critical coning rate is highly geometry- and anisotropy-dependent.</t>
        </is>
      </c>
      <c r="F68" s="27" t="inlineStr">
        <is>
          <t>Use a dedicated correlation (Meyer-Garder, Chaperon) or simulation before setting standoff and rate limits near an aquifer - not reduced to a single sheet formula here.</t>
        </is>
      </c>
    </row>
  </sheetData>
  <sheetProtection selectLockedCells="0" selectUnlockedCells="0" sheet="1" objects="0" insertRows="1" insertHyperlinks="1" autoFilter="1" scenarios="0" formatColumns="0" deleteColumns="1" insertColumns="1" pivotTables="1" deleteRows="1" formatCells="1" formatRows="0" sort="1"/>
  <mergeCells count="6">
    <mergeCell ref="A2:F2"/>
    <mergeCell ref="A54:F54"/>
    <mergeCell ref="A1:F1"/>
    <mergeCell ref="A6:F6"/>
    <mergeCell ref="A40:F40"/>
    <mergeCell ref="A20:F20"/>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30.xml><?xml version="1.0" encoding="utf-8"?>
<worksheet xmlns="http://schemas.openxmlformats.org/spreadsheetml/2006/main">
  <sheetPr>
    <tabColor rgb="00548235"/>
    <outlinePr summaryBelow="1" summaryRight="1"/>
    <pageSetUpPr/>
  </sheetPr>
  <dimension ref="A1:F59"/>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Nodal Analysis - Natural Flow Operating Point</t>
        </is>
      </c>
      <c r="B1" s="2" t="n"/>
      <c r="C1" s="2" t="n"/>
      <c r="D1" s="2" t="n"/>
      <c r="E1" s="2" t="n"/>
      <c r="F1" s="2" t="n"/>
    </row>
    <row r="2">
      <c r="A2" s="20" t="inlineStr">
        <is>
          <t>Vogel IPR from a well test vs simplified tubing outflow (VLP); rate table, operating point and system plot</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Reservoir Inflow (IPR)</t>
        </is>
      </c>
      <c r="B6" s="24" t="n"/>
      <c r="C6" s="24" t="n"/>
      <c r="D6" s="24" t="n"/>
      <c r="E6" s="24" t="n"/>
      <c r="F6" s="24" t="n"/>
    </row>
    <row r="8">
      <c r="A8" s="25" t="inlineStr">
        <is>
          <t>Vogel IPR from Well Test</t>
        </is>
      </c>
      <c r="B8" s="26" t="n"/>
      <c r="C8" s="26" t="n"/>
      <c r="D8" s="26" t="n"/>
      <c r="E8" s="26" t="n"/>
      <c r="F8" s="49" t="inlineStr">
        <is>
          <t>Qmax = Qtest / (1 - 0.2 x (Pwf/Pr) - 0.8 x (Pwf/Pr)^2);   Pwf(Q) = 0.125 x Pr x (SQRT(81 - 80 x Q/Qmax) - 1)</t>
        </is>
      </c>
    </row>
    <row r="9">
      <c r="A9" t="inlineStr"/>
      <c r="F9" s="27" t="inlineStr">
        <is>
          <t>Vogel's dimensionless IPR for solution-gas-drive wells below the bubble point. Anchor on a stabilized test rate and flowing BHP.</t>
        </is>
      </c>
    </row>
    <row r="10">
      <c r="A10" s="28" t="inlineStr">
        <is>
          <t>Reservoir pressure (Pr)</t>
        </is>
      </c>
      <c r="B10" s="64">
        <f>WD_ResP</f>
        <v/>
      </c>
      <c r="C10" s="30" t="inlineStr">
        <is>
          <t>psi</t>
        </is>
      </c>
      <c r="D10" s="32">
        <f>IFERROR($B$10*6.894757,NA())</f>
        <v/>
      </c>
      <c r="E10" s="30" t="inlineStr">
        <is>
          <t>kPa</t>
        </is>
      </c>
      <c r="F10" s="27" t="inlineStr">
        <is>
          <t>Linked to Well Data sheet - overwrite locally if this well differs.</t>
        </is>
      </c>
    </row>
    <row r="11">
      <c r="A11" s="28" t="inlineStr">
        <is>
          <t>Test rate (Qtest)</t>
        </is>
      </c>
      <c r="B11" s="31" t="n">
        <v>800</v>
      </c>
      <c r="C11" s="30" t="inlineStr"/>
      <c r="F11" s="27" t="inlineStr">
        <is>
          <t>STB/d, stabilized.</t>
        </is>
      </c>
    </row>
    <row r="12">
      <c r="A12" s="28" t="inlineStr">
        <is>
          <t>Test flowing BHP (Pwf test)</t>
        </is>
      </c>
      <c r="B12" s="31" t="n">
        <v>3300</v>
      </c>
      <c r="C12" s="30" t="inlineStr">
        <is>
          <t>psi</t>
        </is>
      </c>
      <c r="D12" s="32">
        <f>IFERROR($B$12*6.894757,NA())</f>
        <v/>
      </c>
      <c r="E12" s="30" t="inlineStr">
        <is>
          <t>kPa</t>
        </is>
      </c>
    </row>
    <row r="13">
      <c r="A13" s="28" t="inlineStr">
        <is>
          <t>Vogel AOF (Qmax)</t>
        </is>
      </c>
      <c r="B13" s="59">
        <f>IF($B$12&gt;=$B$10,NA(),$B$11/(1-0.2*($B$12/$B$10)-0.8*($B$12/$B$10)^2))</f>
        <v/>
      </c>
      <c r="C13" s="30" t="inlineStr"/>
      <c r="F13" s="27" t="inlineStr">
        <is>
          <t>STB/d at Pwf = 0. NA if the test point is invalid (Pwf &gt;= Pr).</t>
        </is>
      </c>
    </row>
    <row r="14">
      <c r="A14" s="28" t="inlineStr">
        <is>
          <t>Test point validity</t>
        </is>
      </c>
      <c r="B14" s="72">
        <f>IF($B$12&gt;=$B$10,"CHECK: test Pwf &gt;= reservoir pressure - enter a valid stabilized test","OK - test point below Pr")</f>
        <v/>
      </c>
      <c r="C14" s="30" t="inlineStr"/>
    </row>
    <row r="15">
      <c r="A15" s="28" t="inlineStr">
        <is>
          <t>Rate-table maximum (Q axis span)</t>
        </is>
      </c>
      <c r="B15" s="59">
        <f>IFERROR(ROUND(1.5*$B$13/100,0)*100,NA())</f>
        <v/>
      </c>
      <c r="C15" s="30" t="inlineStr"/>
      <c r="F15" s="27" t="inlineStr">
        <is>
          <t>STB/d. Table below runs 0 to ~1.5 x Qmax in 20 even steps.</t>
        </is>
      </c>
    </row>
    <row r="17" ht="20" customHeight="1">
      <c r="A17" s="23" t="inlineStr">
        <is>
          <t>Tubing Outflow (VLP - simplified)</t>
        </is>
      </c>
      <c r="B17" s="24" t="n"/>
      <c r="C17" s="24" t="n"/>
      <c r="D17" s="24" t="n"/>
      <c r="E17" s="24" t="n"/>
      <c r="F17" s="24" t="n"/>
    </row>
    <row r="19">
      <c r="A19" s="25" t="inlineStr">
        <is>
          <t>Simplified Vertical Lift Performance</t>
        </is>
      </c>
      <c r="B19" s="26" t="n"/>
      <c r="C19" s="26" t="n"/>
      <c r="D19" s="26" t="n"/>
      <c r="E19" s="26" t="n"/>
      <c r="F19" s="49" t="inlineStr">
        <is>
          <t>Pwf_VLP = WHP + grad x TVD + C_f x (Q/1000)^2 x L/1000   (L = TVD here)</t>
        </is>
      </c>
    </row>
    <row r="20">
      <c r="A20" t="inlineStr"/>
      <c r="F20" s="27" t="inlineStr">
        <is>
          <t>Average flowing gradient from gradient curves or a measured flowing survey - this simplified VLP treats the hydrostatic term as rate-independent, so it understates the lift-curve minimum at low rates. Good for a first-pass operating point only.</t>
        </is>
      </c>
    </row>
    <row r="21">
      <c r="A21" s="28" t="inlineStr">
        <is>
          <t>Wellhead flowing pressure (WHP)</t>
        </is>
      </c>
      <c r="B21" s="31" t="n">
        <v>250</v>
      </c>
      <c r="C21" s="30" t="inlineStr">
        <is>
          <t>psi</t>
        </is>
      </c>
      <c r="D21" s="32">
        <f>IFERROR($B$21*6.894757,NA())</f>
        <v/>
      </c>
      <c r="E21" s="30" t="inlineStr">
        <is>
          <t>kPa</t>
        </is>
      </c>
    </row>
    <row r="22">
      <c r="A22" s="28" t="inlineStr">
        <is>
          <t>Perforation TVD (L)</t>
        </is>
      </c>
      <c r="B22" s="64">
        <f>WD_PerfTVD</f>
        <v/>
      </c>
      <c r="C22" s="30" t="inlineStr">
        <is>
          <t>ft</t>
        </is>
      </c>
      <c r="D22" s="32">
        <f>IFERROR($B$22*0.3048,NA())</f>
        <v/>
      </c>
      <c r="E22" s="30" t="inlineStr">
        <is>
          <t>m</t>
        </is>
      </c>
      <c r="F22" s="27" t="inlineStr">
        <is>
          <t>Linked to Well Data sheet - overwrite locally if this well differs.</t>
        </is>
      </c>
    </row>
    <row r="23">
      <c r="A23" s="28" t="inlineStr">
        <is>
          <t>Tubing ID</t>
        </is>
      </c>
      <c r="B23" s="84">
        <f>WD_TbgID</f>
        <v/>
      </c>
      <c r="C23" s="30" t="inlineStr">
        <is>
          <t>in</t>
        </is>
      </c>
      <c r="D23" s="34">
        <f>IFERROR($B$23*25.4,NA())</f>
        <v/>
      </c>
      <c r="E23" s="30" t="inlineStr">
        <is>
          <t>mm</t>
        </is>
      </c>
      <c r="F23" s="27" t="inlineStr">
        <is>
          <t>Linked from Well Data for reference - C_f below should reflect this ID (smaller ID -&gt; larger C_f).</t>
        </is>
      </c>
    </row>
    <row r="24">
      <c r="A24" s="28" t="inlineStr">
        <is>
          <t>Average flowing fluid gradient</t>
        </is>
      </c>
      <c r="B24" s="33" t="n">
        <v>0.33</v>
      </c>
      <c r="C24" s="30" t="inlineStr">
        <is>
          <t>psi/ft</t>
        </is>
      </c>
      <c r="D24" s="34">
        <f>IFERROR($B$24*22.62059,NA())</f>
        <v/>
      </c>
      <c r="E24" s="30" t="inlineStr">
        <is>
          <t>kPa/m</t>
        </is>
      </c>
      <c r="F24" s="27" t="inlineStr">
        <is>
          <t>From gradient curves or measured flowing gradient survey.</t>
        </is>
      </c>
    </row>
    <row r="25">
      <c r="A25" s="28" t="inlineStr">
        <is>
          <t>Friction coefficient (C_f)</t>
        </is>
      </c>
      <c r="B25" s="37" t="n">
        <v>45</v>
      </c>
      <c r="C25" s="30" t="inlineStr"/>
      <c r="F25" s="27" t="inlineStr">
        <is>
          <t>psi per (MSTB/d)^2 per 1000 ft - documented rough default for ~3 in tubing; calibrate to a measured flowing point.</t>
        </is>
      </c>
    </row>
    <row r="27">
      <c r="A27" s="89" t="inlineStr">
        <is>
          <t>System Curves - 21 rates from 0 to the table maximum (all rows computed; edit the inputs above)</t>
        </is>
      </c>
      <c r="B27" s="24" t="n"/>
      <c r="C27" s="24" t="n"/>
      <c r="D27" s="24" t="n"/>
      <c r="E27" s="24" t="n"/>
      <c r="F27" s="24" t="n"/>
    </row>
    <row r="28">
      <c r="A28" s="66" t="inlineStr">
        <is>
          <t>Q (STB/d)</t>
        </is>
      </c>
      <c r="B28" s="67" t="inlineStr">
        <is>
          <t>IPR Pwf (psi)</t>
        </is>
      </c>
      <c r="C28" s="67" t="inlineStr">
        <is>
          <t>VLP Pwf (psi)</t>
        </is>
      </c>
      <c r="D28" s="67" t="inlineStr">
        <is>
          <t>IPR - VLP (psi)</t>
        </is>
      </c>
      <c r="E28" s="67" t="inlineStr">
        <is>
          <t>flag*</t>
        </is>
      </c>
    </row>
    <row r="29">
      <c r="A29" s="71">
        <f>IFERROR(0/20*$B$15,NA())</f>
        <v/>
      </c>
      <c r="B29" s="71">
        <f>IFERROR(IF($A29&gt;$B$13,NA(),0.125*$B$10*(SQRT(81-80*$A29/$B$13)-1)),NA())</f>
        <v/>
      </c>
      <c r="C29" s="71">
        <f>IFERROR($B$21+$B$24*$B$22+$B$25*($A29/1000)^2*$B$22/1000,NA())</f>
        <v/>
      </c>
      <c r="D29" s="71">
        <f>IF(ISNA(B29),NA(),B29-C29)</f>
        <v/>
      </c>
      <c r="E29" s="119">
        <f>IF(ISNA(D29),0,IF(D29&lt;0,1,0))</f>
        <v/>
      </c>
    </row>
    <row r="30">
      <c r="A30" s="71">
        <f>IFERROR(1/20*$B$15,NA())</f>
        <v/>
      </c>
      <c r="B30" s="71">
        <f>IFERROR(IF($A30&gt;$B$13,NA(),0.125*$B$10*(SQRT(81-80*$A30/$B$13)-1)),NA())</f>
        <v/>
      </c>
      <c r="C30" s="71">
        <f>IFERROR($B$21+$B$24*$B$22+$B$25*($A30/1000)^2*$B$22/1000,NA())</f>
        <v/>
      </c>
      <c r="D30" s="71">
        <f>IF(ISNA(B30),NA(),B30-C30)</f>
        <v/>
      </c>
      <c r="E30" s="119">
        <f>IF(ISNA(D30),0,IF(D30&lt;0,1,0))</f>
        <v/>
      </c>
    </row>
    <row r="31">
      <c r="A31" s="71">
        <f>IFERROR(2/20*$B$15,NA())</f>
        <v/>
      </c>
      <c r="B31" s="71">
        <f>IFERROR(IF($A31&gt;$B$13,NA(),0.125*$B$10*(SQRT(81-80*$A31/$B$13)-1)),NA())</f>
        <v/>
      </c>
      <c r="C31" s="71">
        <f>IFERROR($B$21+$B$24*$B$22+$B$25*($A31/1000)^2*$B$22/1000,NA())</f>
        <v/>
      </c>
      <c r="D31" s="71">
        <f>IF(ISNA(B31),NA(),B31-C31)</f>
        <v/>
      </c>
      <c r="E31" s="119">
        <f>IF(ISNA(D31),0,IF(D31&lt;0,1,0))</f>
        <v/>
      </c>
    </row>
    <row r="32">
      <c r="A32" s="71">
        <f>IFERROR(3/20*$B$15,NA())</f>
        <v/>
      </c>
      <c r="B32" s="71">
        <f>IFERROR(IF($A32&gt;$B$13,NA(),0.125*$B$10*(SQRT(81-80*$A32/$B$13)-1)),NA())</f>
        <v/>
      </c>
      <c r="C32" s="71">
        <f>IFERROR($B$21+$B$24*$B$22+$B$25*($A32/1000)^2*$B$22/1000,NA())</f>
        <v/>
      </c>
      <c r="D32" s="71">
        <f>IF(ISNA(B32),NA(),B32-C32)</f>
        <v/>
      </c>
      <c r="E32" s="119">
        <f>IF(ISNA(D32),0,IF(D32&lt;0,1,0))</f>
        <v/>
      </c>
    </row>
    <row r="33">
      <c r="A33" s="71">
        <f>IFERROR(4/20*$B$15,NA())</f>
        <v/>
      </c>
      <c r="B33" s="71">
        <f>IFERROR(IF($A33&gt;$B$13,NA(),0.125*$B$10*(SQRT(81-80*$A33/$B$13)-1)),NA())</f>
        <v/>
      </c>
      <c r="C33" s="71">
        <f>IFERROR($B$21+$B$24*$B$22+$B$25*($A33/1000)^2*$B$22/1000,NA())</f>
        <v/>
      </c>
      <c r="D33" s="71">
        <f>IF(ISNA(B33),NA(),B33-C33)</f>
        <v/>
      </c>
      <c r="E33" s="119">
        <f>IF(ISNA(D33),0,IF(D33&lt;0,1,0))</f>
        <v/>
      </c>
    </row>
    <row r="34">
      <c r="A34" s="71">
        <f>IFERROR(5/20*$B$15,NA())</f>
        <v/>
      </c>
      <c r="B34" s="71">
        <f>IFERROR(IF($A34&gt;$B$13,NA(),0.125*$B$10*(SQRT(81-80*$A34/$B$13)-1)),NA())</f>
        <v/>
      </c>
      <c r="C34" s="71">
        <f>IFERROR($B$21+$B$24*$B$22+$B$25*($A34/1000)^2*$B$22/1000,NA())</f>
        <v/>
      </c>
      <c r="D34" s="71">
        <f>IF(ISNA(B34),NA(),B34-C34)</f>
        <v/>
      </c>
      <c r="E34" s="119">
        <f>IF(ISNA(D34),0,IF(D34&lt;0,1,0))</f>
        <v/>
      </c>
    </row>
    <row r="35">
      <c r="A35" s="71">
        <f>IFERROR(6/20*$B$15,NA())</f>
        <v/>
      </c>
      <c r="B35" s="71">
        <f>IFERROR(IF($A35&gt;$B$13,NA(),0.125*$B$10*(SQRT(81-80*$A35/$B$13)-1)),NA())</f>
        <v/>
      </c>
      <c r="C35" s="71">
        <f>IFERROR($B$21+$B$24*$B$22+$B$25*($A35/1000)^2*$B$22/1000,NA())</f>
        <v/>
      </c>
      <c r="D35" s="71">
        <f>IF(ISNA(B35),NA(),B35-C35)</f>
        <v/>
      </c>
      <c r="E35" s="119">
        <f>IF(ISNA(D35),0,IF(D35&lt;0,1,0))</f>
        <v/>
      </c>
    </row>
    <row r="36">
      <c r="A36" s="71">
        <f>IFERROR(7/20*$B$15,NA())</f>
        <v/>
      </c>
      <c r="B36" s="71">
        <f>IFERROR(IF($A36&gt;$B$13,NA(),0.125*$B$10*(SQRT(81-80*$A36/$B$13)-1)),NA())</f>
        <v/>
      </c>
      <c r="C36" s="71">
        <f>IFERROR($B$21+$B$24*$B$22+$B$25*($A36/1000)^2*$B$22/1000,NA())</f>
        <v/>
      </c>
      <c r="D36" s="71">
        <f>IF(ISNA(B36),NA(),B36-C36)</f>
        <v/>
      </c>
      <c r="E36" s="119">
        <f>IF(ISNA(D36),0,IF(D36&lt;0,1,0))</f>
        <v/>
      </c>
    </row>
    <row r="37">
      <c r="A37" s="71">
        <f>IFERROR(8/20*$B$15,NA())</f>
        <v/>
      </c>
      <c r="B37" s="71">
        <f>IFERROR(IF($A37&gt;$B$13,NA(),0.125*$B$10*(SQRT(81-80*$A37/$B$13)-1)),NA())</f>
        <v/>
      </c>
      <c r="C37" s="71">
        <f>IFERROR($B$21+$B$24*$B$22+$B$25*($A37/1000)^2*$B$22/1000,NA())</f>
        <v/>
      </c>
      <c r="D37" s="71">
        <f>IF(ISNA(B37),NA(),B37-C37)</f>
        <v/>
      </c>
      <c r="E37" s="119">
        <f>IF(ISNA(D37),0,IF(D37&lt;0,1,0))</f>
        <v/>
      </c>
    </row>
    <row r="38">
      <c r="A38" s="71">
        <f>IFERROR(9/20*$B$15,NA())</f>
        <v/>
      </c>
      <c r="B38" s="71">
        <f>IFERROR(IF($A38&gt;$B$13,NA(),0.125*$B$10*(SQRT(81-80*$A38/$B$13)-1)),NA())</f>
        <v/>
      </c>
      <c r="C38" s="71">
        <f>IFERROR($B$21+$B$24*$B$22+$B$25*($A38/1000)^2*$B$22/1000,NA())</f>
        <v/>
      </c>
      <c r="D38" s="71">
        <f>IF(ISNA(B38),NA(),B38-C38)</f>
        <v/>
      </c>
      <c r="E38" s="119">
        <f>IF(ISNA(D38),0,IF(D38&lt;0,1,0))</f>
        <v/>
      </c>
    </row>
    <row r="39">
      <c r="A39" s="71">
        <f>IFERROR(10/20*$B$15,NA())</f>
        <v/>
      </c>
      <c r="B39" s="71">
        <f>IFERROR(IF($A39&gt;$B$13,NA(),0.125*$B$10*(SQRT(81-80*$A39/$B$13)-1)),NA())</f>
        <v/>
      </c>
      <c r="C39" s="71">
        <f>IFERROR($B$21+$B$24*$B$22+$B$25*($A39/1000)^2*$B$22/1000,NA())</f>
        <v/>
      </c>
      <c r="D39" s="71">
        <f>IF(ISNA(B39),NA(),B39-C39)</f>
        <v/>
      </c>
      <c r="E39" s="119">
        <f>IF(ISNA(D39),0,IF(D39&lt;0,1,0))</f>
        <v/>
      </c>
    </row>
    <row r="40">
      <c r="A40" s="71">
        <f>IFERROR(11/20*$B$15,NA())</f>
        <v/>
      </c>
      <c r="B40" s="71">
        <f>IFERROR(IF($A40&gt;$B$13,NA(),0.125*$B$10*(SQRT(81-80*$A40/$B$13)-1)),NA())</f>
        <v/>
      </c>
      <c r="C40" s="71">
        <f>IFERROR($B$21+$B$24*$B$22+$B$25*($A40/1000)^2*$B$22/1000,NA())</f>
        <v/>
      </c>
      <c r="D40" s="71">
        <f>IF(ISNA(B40),NA(),B40-C40)</f>
        <v/>
      </c>
      <c r="E40" s="119">
        <f>IF(ISNA(D40),0,IF(D40&lt;0,1,0))</f>
        <v/>
      </c>
    </row>
    <row r="41">
      <c r="A41" s="71">
        <f>IFERROR(12/20*$B$15,NA())</f>
        <v/>
      </c>
      <c r="B41" s="71">
        <f>IFERROR(IF($A41&gt;$B$13,NA(),0.125*$B$10*(SQRT(81-80*$A41/$B$13)-1)),NA())</f>
        <v/>
      </c>
      <c r="C41" s="71">
        <f>IFERROR($B$21+$B$24*$B$22+$B$25*($A41/1000)^2*$B$22/1000,NA())</f>
        <v/>
      </c>
      <c r="D41" s="71">
        <f>IF(ISNA(B41),NA(),B41-C41)</f>
        <v/>
      </c>
      <c r="E41" s="119">
        <f>IF(ISNA(D41),0,IF(D41&lt;0,1,0))</f>
        <v/>
      </c>
    </row>
    <row r="42">
      <c r="A42" s="71">
        <f>IFERROR(13/20*$B$15,NA())</f>
        <v/>
      </c>
      <c r="B42" s="71">
        <f>IFERROR(IF($A42&gt;$B$13,NA(),0.125*$B$10*(SQRT(81-80*$A42/$B$13)-1)),NA())</f>
        <v/>
      </c>
      <c r="C42" s="71">
        <f>IFERROR($B$21+$B$24*$B$22+$B$25*($A42/1000)^2*$B$22/1000,NA())</f>
        <v/>
      </c>
      <c r="D42" s="71">
        <f>IF(ISNA(B42),NA(),B42-C42)</f>
        <v/>
      </c>
      <c r="E42" s="119">
        <f>IF(ISNA(D42),0,IF(D42&lt;0,1,0))</f>
        <v/>
      </c>
    </row>
    <row r="43">
      <c r="A43" s="71">
        <f>IFERROR(14/20*$B$15,NA())</f>
        <v/>
      </c>
      <c r="B43" s="71">
        <f>IFERROR(IF($A43&gt;$B$13,NA(),0.125*$B$10*(SQRT(81-80*$A43/$B$13)-1)),NA())</f>
        <v/>
      </c>
      <c r="C43" s="71">
        <f>IFERROR($B$21+$B$24*$B$22+$B$25*($A43/1000)^2*$B$22/1000,NA())</f>
        <v/>
      </c>
      <c r="D43" s="71">
        <f>IF(ISNA(B43),NA(),B43-C43)</f>
        <v/>
      </c>
      <c r="E43" s="119">
        <f>IF(ISNA(D43),0,IF(D43&lt;0,1,0))</f>
        <v/>
      </c>
    </row>
    <row r="44">
      <c r="A44" s="71">
        <f>IFERROR(15/20*$B$15,NA())</f>
        <v/>
      </c>
      <c r="B44" s="71">
        <f>IFERROR(IF($A44&gt;$B$13,NA(),0.125*$B$10*(SQRT(81-80*$A44/$B$13)-1)),NA())</f>
        <v/>
      </c>
      <c r="C44" s="71">
        <f>IFERROR($B$21+$B$24*$B$22+$B$25*($A44/1000)^2*$B$22/1000,NA())</f>
        <v/>
      </c>
      <c r="D44" s="71">
        <f>IF(ISNA(B44),NA(),B44-C44)</f>
        <v/>
      </c>
      <c r="E44" s="119">
        <f>IF(ISNA(D44),0,IF(D44&lt;0,1,0))</f>
        <v/>
      </c>
    </row>
    <row r="45">
      <c r="A45" s="71">
        <f>IFERROR(16/20*$B$15,NA())</f>
        <v/>
      </c>
      <c r="B45" s="71">
        <f>IFERROR(IF($A45&gt;$B$13,NA(),0.125*$B$10*(SQRT(81-80*$A45/$B$13)-1)),NA())</f>
        <v/>
      </c>
      <c r="C45" s="71">
        <f>IFERROR($B$21+$B$24*$B$22+$B$25*($A45/1000)^2*$B$22/1000,NA())</f>
        <v/>
      </c>
      <c r="D45" s="71">
        <f>IF(ISNA(B45),NA(),B45-C45)</f>
        <v/>
      </c>
      <c r="E45" s="119">
        <f>IF(ISNA(D45),0,IF(D45&lt;0,1,0))</f>
        <v/>
      </c>
    </row>
    <row r="46">
      <c r="A46" s="71">
        <f>IFERROR(17/20*$B$15,NA())</f>
        <v/>
      </c>
      <c r="B46" s="71">
        <f>IFERROR(IF($A46&gt;$B$13,NA(),0.125*$B$10*(SQRT(81-80*$A46/$B$13)-1)),NA())</f>
        <v/>
      </c>
      <c r="C46" s="71">
        <f>IFERROR($B$21+$B$24*$B$22+$B$25*($A46/1000)^2*$B$22/1000,NA())</f>
        <v/>
      </c>
      <c r="D46" s="71">
        <f>IF(ISNA(B46),NA(),B46-C46)</f>
        <v/>
      </c>
      <c r="E46" s="119">
        <f>IF(ISNA(D46),0,IF(D46&lt;0,1,0))</f>
        <v/>
      </c>
    </row>
    <row r="47">
      <c r="A47" s="71">
        <f>IFERROR(18/20*$B$15,NA())</f>
        <v/>
      </c>
      <c r="B47" s="71">
        <f>IFERROR(IF($A47&gt;$B$13,NA(),0.125*$B$10*(SQRT(81-80*$A47/$B$13)-1)),NA())</f>
        <v/>
      </c>
      <c r="C47" s="71">
        <f>IFERROR($B$21+$B$24*$B$22+$B$25*($A47/1000)^2*$B$22/1000,NA())</f>
        <v/>
      </c>
      <c r="D47" s="71">
        <f>IF(ISNA(B47),NA(),B47-C47)</f>
        <v/>
      </c>
      <c r="E47" s="119">
        <f>IF(ISNA(D47),0,IF(D47&lt;0,1,0))</f>
        <v/>
      </c>
    </row>
    <row r="48">
      <c r="A48" s="71">
        <f>IFERROR(19/20*$B$15,NA())</f>
        <v/>
      </c>
      <c r="B48" s="71">
        <f>IFERROR(IF($A48&gt;$B$13,NA(),0.125*$B$10*(SQRT(81-80*$A48/$B$13)-1)),NA())</f>
        <v/>
      </c>
      <c r="C48" s="71">
        <f>IFERROR($B$21+$B$24*$B$22+$B$25*($A48/1000)^2*$B$22/1000,NA())</f>
        <v/>
      </c>
      <c r="D48" s="71">
        <f>IF(ISNA(B48),NA(),B48-C48)</f>
        <v/>
      </c>
      <c r="E48" s="119">
        <f>IF(ISNA(D48),0,IF(D48&lt;0,1,0))</f>
        <v/>
      </c>
    </row>
    <row r="49">
      <c r="A49" s="71">
        <f>IFERROR(20/20*$B$15,NA())</f>
        <v/>
      </c>
      <c r="B49" s="71">
        <f>IFERROR(IF($A49&gt;$B$13,NA(),0.125*$B$10*(SQRT(81-80*$A49/$B$13)-1)),NA())</f>
        <v/>
      </c>
      <c r="C49" s="71">
        <f>IFERROR($B$21+$B$24*$B$22+$B$25*($A49/1000)^2*$B$22/1000,NA())</f>
        <v/>
      </c>
      <c r="D49" s="71">
        <f>IF(ISNA(B49),NA(),B49-C49)</f>
        <v/>
      </c>
      <c r="E49" s="119">
        <f>IF(ISNA(D49),0,IF(D49&lt;0,1,0))</f>
        <v/>
      </c>
    </row>
    <row r="50">
      <c r="A50" s="9" t="inlineStr">
        <is>
          <t>* flag = 1 where VLP exceeds IPR (used to locate the crossing). IPR Pwf shows #N/A above Qmax by design (chart gap).</t>
        </is>
      </c>
    </row>
    <row r="52" ht="20" customHeight="1">
      <c r="A52" s="23" t="inlineStr">
        <is>
          <t>Operating Point</t>
        </is>
      </c>
      <c r="B52" s="24" t="n"/>
      <c r="C52" s="24" t="n"/>
      <c r="D52" s="24" t="n"/>
      <c r="E52" s="24" t="n"/>
      <c r="F52" s="24" t="n"/>
    </row>
    <row r="54">
      <c r="A54" s="25" t="inlineStr">
        <is>
          <t>Natural-Flow Operating Point</t>
        </is>
      </c>
      <c r="B54" s="26" t="n"/>
      <c r="C54" s="26" t="n"/>
      <c r="D54" s="26" t="n"/>
      <c r="E54" s="26" t="n"/>
      <c r="F54" s="49" t="inlineStr">
        <is>
          <t>Qop: linear interpolation of (IPR - VLP) = 0 between the first row with flag = 1 and the row before it</t>
        </is>
      </c>
    </row>
    <row r="55">
      <c r="A55" t="inlineStr"/>
      <c r="F55" s="27" t="inlineStr">
        <is>
          <t>MATCH finds the first table row where the VLP curve is above the IPR curve; the zero of the difference is interpolated between that row and the previous one. If the curves never cross (or cross at Q = 0) the well will not flow naturally.</t>
        </is>
      </c>
    </row>
    <row r="56">
      <c r="A56" s="28" t="inlineStr">
        <is>
          <t>First row with VLP above IPR</t>
        </is>
      </c>
      <c r="B56" s="101">
        <f>IFERROR(MATCH(1,$E$29:$E$49,0),0)</f>
        <v/>
      </c>
      <c r="C56" s="30" t="inlineStr"/>
      <c r="F56" s="27" t="inlineStr">
        <is>
          <t>Row index within the table; 0 = no crossing in the table range.</t>
        </is>
      </c>
    </row>
    <row r="57">
      <c r="A57" s="28" t="inlineStr">
        <is>
          <t>Operating rate (Qop)</t>
        </is>
      </c>
      <c r="B57" s="59">
        <f>IF($B$56&lt;=1,NA(),INDEX($A$29:$A$49,$B$56-1)+INDEX($D$29:$D$49,$B$56-1)*(INDEX($A$29:$A$49,$B$56)-INDEX($A$29:$A$49,$B$56-1))/(INDEX($D$29:$D$49,$B$56-1)-INDEX($D$29:$D$49,$B$56)))</f>
        <v/>
      </c>
      <c r="C57" s="30" t="inlineStr"/>
      <c r="F57" s="27" t="inlineStr">
        <is>
          <t>STB/d. #N/A when there is no natural-flow point.</t>
        </is>
      </c>
    </row>
    <row r="58">
      <c r="A58" s="28" t="inlineStr">
        <is>
          <t>Operating flowing BHP (Pwf op)</t>
        </is>
      </c>
      <c r="B58" s="59">
        <f>IF($B$56&lt;=1,NA(),$B$21+$B$24*$B$22+$B$25*($B$57/1000)^2*$B$22/1000)</f>
        <v/>
      </c>
      <c r="C58" s="30" t="inlineStr">
        <is>
          <t>psi</t>
        </is>
      </c>
      <c r="D58" s="32">
        <f>IFERROR($B$58*6.894757,NA())</f>
        <v/>
      </c>
      <c r="E58" s="30" t="inlineStr">
        <is>
          <t>kPa</t>
        </is>
      </c>
    </row>
    <row r="59">
      <c r="A59" s="28" t="inlineStr">
        <is>
          <t>Status</t>
        </is>
      </c>
      <c r="B59" s="72">
        <f>IF($B$56&lt;=1,"CHECK: no natural flow - artificial lift required","OK - natural flow operating point found")</f>
        <v/>
      </c>
      <c r="C59" s="30" t="inlineStr"/>
    </row>
  </sheetData>
  <sheetProtection selectLockedCells="0" selectUnlockedCells="0" sheet="1" objects="0" insertRows="1" insertHyperlinks="1" autoFilter="1" scenarios="0" formatColumns="0" deleteColumns="1" insertColumns="1" pivotTables="1" deleteRows="1" formatCells="1" formatRows="0" sort="1"/>
  <mergeCells count="6">
    <mergeCell ref="A2:F2"/>
    <mergeCell ref="A52:F52"/>
    <mergeCell ref="A1:F1"/>
    <mergeCell ref="A27:F27"/>
    <mergeCell ref="A6:F6"/>
    <mergeCell ref="A17:F17"/>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tabColor rgb="00548235"/>
    <outlinePr summaryBelow="1" summaryRight="1"/>
    <pageSetUpPr/>
  </sheetPr>
  <dimension ref="A1:F72"/>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Electric Submersible Pump Design</t>
        </is>
      </c>
      <c r="B1" s="2" t="n"/>
      <c r="C1" s="2" t="n"/>
      <c r="D1" s="2" t="n"/>
      <c r="E1" s="2" t="n"/>
      <c r="F1" s="2" t="n"/>
    </row>
    <row r="2">
      <c r="A2" s="20" t="inlineStr">
        <is>
          <t>Intake pressure and free gas at the desired rate; total dynamic head, stage count, motor sizing and surface electrical loads</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Rate &amp; Intake</t>
        </is>
      </c>
      <c r="B6" s="24" t="n"/>
      <c r="C6" s="24" t="n"/>
      <c r="D6" s="24" t="n"/>
      <c r="E6" s="24" t="n"/>
      <c r="F6" s="24" t="n"/>
    </row>
    <row r="8">
      <c r="A8" s="25" t="inlineStr">
        <is>
          <t>Flowing BHP &amp; Pump Intake Pressure</t>
        </is>
      </c>
      <c r="B8" s="26" t="n"/>
      <c r="C8" s="26" t="n"/>
      <c r="D8" s="26" t="n"/>
      <c r="E8" s="26" t="n"/>
      <c r="F8" s="49" t="inlineStr">
        <is>
          <t>Pwf = Pres - Q/J;   grad = 0.433 x SG_comp;   PIP = Pwf - grad x (perf TVD - pump TVD)</t>
        </is>
      </c>
    </row>
    <row r="9">
      <c r="A9" t="inlineStr"/>
      <c r="F9" s="27" t="inlineStr">
        <is>
          <t>Straight-line PI inflow. Composite SG mixes water and oil by water cut; the fluid between the perfs and the pump intake is assumed at the composite gradient.</t>
        </is>
      </c>
    </row>
    <row r="10">
      <c r="A10" s="28" t="inlineStr">
        <is>
          <t>Reservoir pressure (Pres)</t>
        </is>
      </c>
      <c r="B10" s="64">
        <f>WD_ResP</f>
        <v/>
      </c>
      <c r="C10" s="30" t="inlineStr">
        <is>
          <t>psi</t>
        </is>
      </c>
      <c r="D10" s="32">
        <f>IFERROR($B$10*6.894757,NA())</f>
        <v/>
      </c>
      <c r="E10" s="30" t="inlineStr">
        <is>
          <t>kPa</t>
        </is>
      </c>
      <c r="F10" s="27" t="inlineStr">
        <is>
          <t>Linked to Well Data sheet - overwrite locally if this well differs.</t>
        </is>
      </c>
    </row>
    <row r="11">
      <c r="A11" s="28" t="inlineStr">
        <is>
          <t>Perforation TVD</t>
        </is>
      </c>
      <c r="B11" s="64">
        <f>WD_PerfTVD</f>
        <v/>
      </c>
      <c r="C11" s="30" t="inlineStr">
        <is>
          <t>ft</t>
        </is>
      </c>
      <c r="D11" s="32">
        <f>IFERROR($B$11*0.3048,NA())</f>
        <v/>
      </c>
      <c r="E11" s="30" t="inlineStr">
        <is>
          <t>m</t>
        </is>
      </c>
      <c r="F11" s="27" t="inlineStr">
        <is>
          <t>Linked to Well Data sheet - overwrite locally if this well differs.</t>
        </is>
      </c>
    </row>
    <row r="12">
      <c r="A12" s="28" t="inlineStr">
        <is>
          <t>Desired rate (Q)</t>
        </is>
      </c>
      <c r="B12" s="31" t="n">
        <v>1500</v>
      </c>
      <c r="C12" s="30" t="inlineStr"/>
      <c r="F12" s="27" t="inlineStr">
        <is>
          <t>bpd (gross liquid).</t>
        </is>
      </c>
    </row>
    <row r="13">
      <c r="A13" s="28" t="inlineStr">
        <is>
          <t>Productivity index (J)</t>
        </is>
      </c>
      <c r="B13" s="41" t="n">
        <v>1.2</v>
      </c>
      <c r="C13" s="30" t="inlineStr"/>
      <c r="F13" s="27" t="inlineStr">
        <is>
          <t>bpd/psi.</t>
        </is>
      </c>
    </row>
    <row r="14">
      <c r="A14" s="28" t="inlineStr">
        <is>
          <t>Pump setting depth (TVD)</t>
        </is>
      </c>
      <c r="B14" s="31" t="n">
        <v>5400</v>
      </c>
      <c r="C14" s="30" t="inlineStr">
        <is>
          <t>ft</t>
        </is>
      </c>
      <c r="D14" s="32">
        <f>IFERROR($B$14*0.3048,NA())</f>
        <v/>
      </c>
      <c r="E14" s="30" t="inlineStr">
        <is>
          <t>m</t>
        </is>
      </c>
    </row>
    <row r="15">
      <c r="A15" s="28" t="inlineStr">
        <is>
          <t>Water cut</t>
        </is>
      </c>
      <c r="B15" s="37" t="n">
        <v>60</v>
      </c>
      <c r="C15" s="30" t="inlineStr"/>
      <c r="F15" s="27" t="inlineStr">
        <is>
          <t>Percent - formulas divide by 100.</t>
        </is>
      </c>
    </row>
    <row r="16">
      <c r="A16" s="28" t="inlineStr">
        <is>
          <t>Oil gravity</t>
        </is>
      </c>
      <c r="B16" s="37" t="n">
        <v>32</v>
      </c>
      <c r="C16" s="30" t="inlineStr"/>
      <c r="F16" s="27" t="inlineStr">
        <is>
          <t>degrees API.</t>
        </is>
      </c>
    </row>
    <row r="17">
      <c r="A17" s="28" t="inlineStr">
        <is>
          <t>Water specific gravity (SGw)</t>
        </is>
      </c>
      <c r="B17" s="33" t="n">
        <v>1.05</v>
      </c>
      <c r="C17" s="30" t="inlineStr"/>
    </row>
    <row r="18">
      <c r="A18" s="28" t="inlineStr">
        <is>
          <t>Flowing BHP at desired rate (Pwf)</t>
        </is>
      </c>
      <c r="B18" s="59">
        <f>$B$10-$B$12/$B$13</f>
        <v/>
      </c>
      <c r="C18" s="30" t="inlineStr">
        <is>
          <t>psi</t>
        </is>
      </c>
      <c r="D18" s="32">
        <f>IFERROR($B$18*6.894757,NA())</f>
        <v/>
      </c>
      <c r="E18" s="30" t="inlineStr">
        <is>
          <t>kPa</t>
        </is>
      </c>
    </row>
    <row r="19">
      <c r="A19" s="28" t="inlineStr">
        <is>
          <t>Oil specific gravity (SGo)</t>
        </is>
      </c>
      <c r="B19" s="50">
        <f>141.5/(131.5+$B$16)</f>
        <v/>
      </c>
      <c r="C19" s="30" t="inlineStr"/>
      <c r="F19" s="27" t="inlineStr">
        <is>
          <t>SGo = 141.5 / (131.5 + API)</t>
        </is>
      </c>
    </row>
    <row r="20">
      <c r="A20" s="28" t="inlineStr">
        <is>
          <t>Composite fluid SG</t>
        </is>
      </c>
      <c r="B20" s="50">
        <f>$B$15/100*$B$17+(1-$B$15/100)*$B$19</f>
        <v/>
      </c>
      <c r="C20" s="30" t="inlineStr"/>
      <c r="F20" s="27" t="inlineStr">
        <is>
          <t>SG_comp = WC x SGw + (1 - WC) x SGo, WC as a fraction (input is percent, /100 in the formula).</t>
        </is>
      </c>
    </row>
    <row r="21">
      <c r="A21" s="28" t="inlineStr">
        <is>
          <t>Fluid gradient</t>
        </is>
      </c>
      <c r="B21" s="58">
        <f>0.433*$B$20</f>
        <v/>
      </c>
      <c r="C21" s="30" t="inlineStr">
        <is>
          <t>psi/ft</t>
        </is>
      </c>
      <c r="D21" s="39">
        <f>IFERROR($B$21*22.62059,NA())</f>
        <v/>
      </c>
      <c r="E21" s="30" t="inlineStr">
        <is>
          <t>kPa/m</t>
        </is>
      </c>
    </row>
    <row r="22">
      <c r="A22" s="28" t="inlineStr">
        <is>
          <t>Pump intake pressure (PIP)</t>
        </is>
      </c>
      <c r="B22" s="59">
        <f>$B$18-$B$21*($B$11-$B$14)</f>
        <v/>
      </c>
      <c r="C22" s="30" t="inlineStr">
        <is>
          <t>psi</t>
        </is>
      </c>
      <c r="D22" s="32">
        <f>IFERROR($B$22*6.894757,NA())</f>
        <v/>
      </c>
      <c r="E22" s="30" t="inlineStr">
        <is>
          <t>kPa</t>
        </is>
      </c>
    </row>
    <row r="23">
      <c r="A23" s="28" t="inlineStr">
        <is>
          <t>Intake status</t>
        </is>
      </c>
      <c r="B23" s="72">
        <f>IF($B$22&gt;=250,"OK - adequate submergence",IF($B$22&gt;=100,"MARGINAL - low intake pressure","CHECK: pump-off risk - lower pump or cut rate"))</f>
        <v/>
      </c>
      <c r="C23" s="30" t="inlineStr"/>
    </row>
    <row r="25" ht="20" customHeight="1">
      <c r="A25" s="23" t="inlineStr">
        <is>
          <t>Gas at Intake</t>
        </is>
      </c>
      <c r="B25" s="24" t="n"/>
      <c r="C25" s="24" t="n"/>
      <c r="D25" s="24" t="n"/>
      <c r="E25" s="24" t="n"/>
      <c r="F25" s="24" t="n"/>
    </row>
    <row r="27">
      <c r="A27" s="25" t="inlineStr">
        <is>
          <t>Free Gas Fraction at Intake</t>
        </is>
      </c>
      <c r="B27" s="26" t="n"/>
      <c r="C27" s="26" t="n"/>
      <c r="D27" s="26" t="n"/>
      <c r="E27" s="26" t="n"/>
      <c r="F27" s="49" t="inlineStr">
        <is>
          <t>free GOR = GOR - Rs;   Vgas = freeGOR x (1-WC) x Bg;   free gas % = 100 x Vgas / (Vgas + 1.0)</t>
        </is>
      </c>
    </row>
    <row r="28">
      <c r="A28" t="inlineStr"/>
      <c r="F28" s="27" t="inlineStr">
        <is>
          <t>Simplified per-STB basis: free gas volume at intake per stock-tank barrel of liquid, liquid shrinkage ignored (Vliq taken as 1.0 bbl/STB). Rs and Bg at PIP from PVT data or Standing correlation. Rule of thumb: standard pumps to ~10% free gas, rotary separator to ~20%.</t>
        </is>
      </c>
    </row>
    <row r="29">
      <c r="A29" s="28" t="inlineStr">
        <is>
          <t>Producing GOR</t>
        </is>
      </c>
      <c r="B29" s="31" t="n">
        <v>300</v>
      </c>
      <c r="C29" s="30" t="inlineStr">
        <is>
          <t>scf/bbl</t>
        </is>
      </c>
      <c r="D29" s="32">
        <f>IFERROR($B$29*0.1781076,NA())</f>
        <v/>
      </c>
      <c r="E29" s="30" t="inlineStr">
        <is>
          <t>m3/m3</t>
        </is>
      </c>
      <c r="F29" s="27" t="inlineStr">
        <is>
          <t>scf/STB total producing gas-oil ratio.</t>
        </is>
      </c>
    </row>
    <row r="30">
      <c r="A30" s="28" t="inlineStr">
        <is>
          <t>Solution GOR at PIP (Rs)</t>
        </is>
      </c>
      <c r="B30" s="31" t="n">
        <v>120</v>
      </c>
      <c r="C30" s="30" t="inlineStr">
        <is>
          <t>scf/bbl</t>
        </is>
      </c>
      <c r="D30" s="32">
        <f>IFERROR($B$30*0.1781076,NA())</f>
        <v/>
      </c>
      <c r="E30" s="30" t="inlineStr">
        <is>
          <t>m3/m3</t>
        </is>
      </c>
      <c r="F30" s="27" t="inlineStr">
        <is>
          <t>scf/STB still in solution at PIP - from PVT report or Standing correlation.</t>
        </is>
      </c>
    </row>
    <row r="31">
      <c r="A31" s="28" t="inlineStr">
        <is>
          <t>Gas formation volume factor at PIP (Bg)</t>
        </is>
      </c>
      <c r="B31" s="38" t="n">
        <v>0.008</v>
      </c>
      <c r="C31" s="30" t="inlineStr"/>
      <c r="F31" s="27" t="inlineStr">
        <is>
          <t>bbl/scf at pump intake pressure and temperature.</t>
        </is>
      </c>
    </row>
    <row r="32">
      <c r="A32" s="28" t="inlineStr">
        <is>
          <t>Gas separator efficiency</t>
        </is>
      </c>
      <c r="B32" s="41" t="n">
        <v>0.7</v>
      </c>
      <c r="C32" s="30" t="inlineStr"/>
      <c r="F32" s="27" t="inlineStr">
        <is>
          <t>Fraction of free gas diverted to the annulus (0 = none).</t>
        </is>
      </c>
    </row>
    <row r="33">
      <c r="A33" s="28" t="inlineStr">
        <is>
          <t>Free GOR at intake</t>
        </is>
      </c>
      <c r="B33" s="59">
        <f>$B$29-$B$30</f>
        <v/>
      </c>
      <c r="C33" s="30" t="inlineStr">
        <is>
          <t>scf/bbl</t>
        </is>
      </c>
      <c r="D33" s="32">
        <f>IFERROR($B$33*0.1781076,NA())</f>
        <v/>
      </c>
      <c r="E33" s="30" t="inlineStr">
        <is>
          <t>m3/m3</t>
        </is>
      </c>
      <c r="F33" s="27" t="inlineStr">
        <is>
          <t>scf/STB of free (undissolved) gas at PIP.</t>
        </is>
      </c>
    </row>
    <row r="34">
      <c r="A34" s="28" t="inlineStr">
        <is>
          <t>Free gas volume at intake (Vgas)</t>
        </is>
      </c>
      <c r="B34" s="50">
        <f>$B$33*(1-$B$15/100)*$B$31</f>
        <v/>
      </c>
      <c r="C34" s="30" t="inlineStr"/>
      <c r="F34" s="27" t="inlineStr">
        <is>
          <t>bbl per STB of liquid (gas evolves from the oil fraction only).</t>
        </is>
      </c>
    </row>
    <row r="35">
      <c r="A35" s="28" t="inlineStr">
        <is>
          <t>Free gas fraction at intake</t>
        </is>
      </c>
      <c r="B35" s="54">
        <f>100*$B$34/($B$34+1)</f>
        <v/>
      </c>
      <c r="C35" s="30" t="inlineStr"/>
      <c r="F35" s="27" t="inlineStr">
        <is>
          <t>Percent by volume entering the intake before separation.</t>
        </is>
      </c>
    </row>
    <row r="36">
      <c r="A36" s="28" t="inlineStr">
        <is>
          <t>Free gas into pump after separator</t>
        </is>
      </c>
      <c r="B36" s="54">
        <f>$B$35*(1-$B$32)</f>
        <v/>
      </c>
      <c r="C36" s="30" t="inlineStr"/>
      <c r="F36" s="27" t="inlineStr">
        <is>
          <t>Percent.</t>
        </is>
      </c>
    </row>
    <row r="37">
      <c r="A37" s="28" t="inlineStr">
        <is>
          <t>Gas status</t>
        </is>
      </c>
      <c r="B37" s="72">
        <f>IF($B$36&lt;10,"OK - gas manageable",IF($B$36&lt;20,"MARGINAL - rotary separator recommended","CHECK: EXCEEDS 20% free gas - gas handler/AGH required"))</f>
        <v/>
      </c>
      <c r="C37" s="30" t="inlineStr"/>
    </row>
    <row r="39" ht="20" customHeight="1">
      <c r="A39" s="23" t="inlineStr">
        <is>
          <t>Total Dynamic Head</t>
        </is>
      </c>
      <c r="B39" s="24" t="n"/>
      <c r="C39" s="24" t="n"/>
      <c r="D39" s="24" t="n"/>
      <c r="E39" s="24" t="n"/>
      <c r="F39" s="24" t="n"/>
    </row>
    <row r="41">
      <c r="A41" s="25" t="inlineStr">
        <is>
          <t>Total Dynamic Head (TDH)</t>
        </is>
      </c>
      <c r="B41" s="26" t="n"/>
      <c r="C41" s="26" t="n"/>
      <c r="D41" s="26" t="n"/>
      <c r="E41" s="26" t="n"/>
      <c r="F41" s="49" t="inlineStr">
        <is>
          <t>TDH = (pump depth - PIP x 2.31/SG) + f x depth/1000 + THP x 2.31/SG</t>
        </is>
      </c>
    </row>
    <row r="42">
      <c r="A42" t="inlineStr"/>
      <c r="F42" s="27" t="inlineStr">
        <is>
          <t>Design block uses a rounded design PIP (yellow override) so the head calc is stable while inflow inputs are tuned - the computed PIP above is the live value. 2.31 ft of fresh-water head per psi, divided by SG.</t>
        </is>
      </c>
    </row>
    <row r="43">
      <c r="A43" s="28" t="inlineStr">
        <is>
          <t>PIP for design (override)</t>
        </is>
      </c>
      <c r="B43" s="31" t="n">
        <v>900</v>
      </c>
      <c r="C43" s="30" t="inlineStr">
        <is>
          <t>psi</t>
        </is>
      </c>
      <c r="D43" s="32">
        <f>IFERROR($B$43*6.894757,NA())</f>
        <v/>
      </c>
      <c r="E43" s="30" t="inlineStr">
        <is>
          <t>kPa</t>
        </is>
      </c>
      <c r="F43" s="27" t="inlineStr">
        <is>
          <t>Rounded design intake pressure - compare with the computed PIP above.</t>
        </is>
      </c>
    </row>
    <row r="44">
      <c r="A44" s="28" t="inlineStr">
        <is>
          <t>Composite SG for design</t>
        </is>
      </c>
      <c r="B44" s="33" t="n">
        <v>1.02</v>
      </c>
      <c r="C44" s="30" t="inlineStr"/>
    </row>
    <row r="45">
      <c r="A45" s="28" t="inlineStr">
        <is>
          <t>Tubing head pressure (THP)</t>
        </is>
      </c>
      <c r="B45" s="31" t="n">
        <v>150</v>
      </c>
      <c r="C45" s="30" t="inlineStr">
        <is>
          <t>psi</t>
        </is>
      </c>
      <c r="D45" s="32">
        <f>IFERROR($B$45*6.894757,NA())</f>
        <v/>
      </c>
      <c r="E45" s="30" t="inlineStr">
        <is>
          <t>kPa</t>
        </is>
      </c>
    </row>
    <row r="46">
      <c r="A46" s="28" t="inlineStr">
        <is>
          <t>Tubing friction head</t>
        </is>
      </c>
      <c r="B46" s="37" t="n">
        <v>20</v>
      </c>
      <c r="C46" s="30" t="inlineStr"/>
      <c r="F46" s="27" t="inlineStr">
        <is>
          <t>ft per 1000 ft of tubing - from friction charts for the tubing size and rate.</t>
        </is>
      </c>
    </row>
    <row r="47">
      <c r="A47" s="28" t="inlineStr">
        <is>
          <t>Fluid over pump</t>
        </is>
      </c>
      <c r="B47" s="60">
        <f>$B$43*2.31/$B$44</f>
        <v/>
      </c>
      <c r="C47" s="30" t="inlineStr">
        <is>
          <t>ft</t>
        </is>
      </c>
      <c r="D47" s="61">
        <f>IFERROR($B$47*0.3048,NA())</f>
        <v/>
      </c>
      <c r="E47" s="30" t="inlineStr">
        <is>
          <t>m</t>
        </is>
      </c>
      <c r="F47" s="27" t="inlineStr">
        <is>
          <t>Head equivalent of the design PIP.</t>
        </is>
      </c>
    </row>
    <row r="48">
      <c r="A48" s="28" t="inlineStr">
        <is>
          <t>Net vertical lift</t>
        </is>
      </c>
      <c r="B48" s="60">
        <f>$B$14-$B$47</f>
        <v/>
      </c>
      <c r="C48" s="30" t="inlineStr">
        <is>
          <t>ft</t>
        </is>
      </c>
      <c r="D48" s="61">
        <f>IFERROR($B$48*0.3048,NA())</f>
        <v/>
      </c>
      <c r="E48" s="30" t="inlineStr">
        <is>
          <t>m</t>
        </is>
      </c>
      <c r="F48" s="27" t="inlineStr">
        <is>
          <t>Pump depth minus fluid over pump (dynamic fluid level).</t>
        </is>
      </c>
    </row>
    <row r="49">
      <c r="A49" s="28" t="inlineStr">
        <is>
          <t>THP head</t>
        </is>
      </c>
      <c r="B49" s="60">
        <f>$B$45*2.31/$B$44</f>
        <v/>
      </c>
      <c r="C49" s="30" t="inlineStr">
        <is>
          <t>ft</t>
        </is>
      </c>
      <c r="D49" s="61">
        <f>IFERROR($B$49*0.3048,NA())</f>
        <v/>
      </c>
      <c r="E49" s="30" t="inlineStr">
        <is>
          <t>m</t>
        </is>
      </c>
    </row>
    <row r="50">
      <c r="A50" s="28" t="inlineStr">
        <is>
          <t>Tubing friction</t>
        </is>
      </c>
      <c r="B50" s="60">
        <f>$B$46*$B$14/1000</f>
        <v/>
      </c>
      <c r="C50" s="30" t="inlineStr">
        <is>
          <t>ft</t>
        </is>
      </c>
      <c r="D50" s="61">
        <f>IFERROR($B$50*0.3048,NA())</f>
        <v/>
      </c>
      <c r="E50" s="30" t="inlineStr">
        <is>
          <t>m</t>
        </is>
      </c>
    </row>
    <row r="51">
      <c r="A51" s="28" t="inlineStr">
        <is>
          <t>Total dynamic head (TDH)</t>
        </is>
      </c>
      <c r="B51" s="60">
        <f>$B$48+$B$50+$B$49</f>
        <v/>
      </c>
      <c r="C51" s="30" t="inlineStr">
        <is>
          <t>ft</t>
        </is>
      </c>
      <c r="D51" s="61">
        <f>IFERROR($B$51*0.3048,NA())</f>
        <v/>
      </c>
      <c r="E51" s="30" t="inlineStr">
        <is>
          <t>m</t>
        </is>
      </c>
    </row>
    <row r="53" ht="20" customHeight="1">
      <c r="A53" s="23" t="inlineStr">
        <is>
          <t>Stages &amp; Power</t>
        </is>
      </c>
      <c r="B53" s="24" t="n"/>
      <c r="C53" s="24" t="n"/>
      <c r="D53" s="24" t="n"/>
      <c r="E53" s="24" t="n"/>
      <c r="F53" s="24" t="n"/>
    </row>
    <row r="55">
      <c r="A55" s="25" t="inlineStr">
        <is>
          <t>Stage Count &amp; Motor Sizing</t>
        </is>
      </c>
      <c r="B55" s="26" t="n"/>
      <c r="C55" s="26" t="n"/>
      <c r="D55" s="26" t="n"/>
      <c r="E55" s="26" t="n"/>
      <c r="F55" s="49" t="inlineStr">
        <is>
          <t>stages = ROUNDUP(TDH / head-per-stage);   BHP = stages x BHP/stage x SG;   HP = ROUNDUP(BHP x SF)</t>
        </is>
      </c>
    </row>
    <row r="56">
      <c r="A56" t="inlineStr"/>
      <c r="F56" s="27" t="inlineStr">
        <is>
          <t>Head and BHP per stage from the catalog curve at the best-efficiency point for the design rate. Catalog BHP is on water - multiply by SG for the pumped fluid.</t>
        </is>
      </c>
    </row>
    <row r="57">
      <c r="A57" s="28" t="inlineStr">
        <is>
          <t>Head per stage (catalog, at BEP)</t>
        </is>
      </c>
      <c r="B57" s="37" t="n">
        <v>25</v>
      </c>
      <c r="C57" s="30" t="inlineStr">
        <is>
          <t>ft</t>
        </is>
      </c>
      <c r="D57" s="40">
        <f>IFERROR($B$57*0.3048,NA())</f>
        <v/>
      </c>
      <c r="E57" s="30" t="inlineStr">
        <is>
          <t>m</t>
        </is>
      </c>
    </row>
    <row r="58">
      <c r="A58" s="28" t="inlineStr">
        <is>
          <t>BHP per stage (catalog, water)</t>
        </is>
      </c>
      <c r="B58" s="33" t="n">
        <v>0.35</v>
      </c>
      <c r="C58" s="30" t="inlineStr">
        <is>
          <t>hp</t>
        </is>
      </c>
      <c r="D58" s="34">
        <f>IFERROR($B$58*0.7456999,NA())</f>
        <v/>
      </c>
      <c r="E58" s="30" t="inlineStr">
        <is>
          <t>kW</t>
        </is>
      </c>
    </row>
    <row r="59">
      <c r="A59" s="28" t="inlineStr">
        <is>
          <t>Motor safety factor</t>
        </is>
      </c>
      <c r="B59" s="41" t="n">
        <v>1.15</v>
      </c>
      <c r="C59" s="30" t="inlineStr"/>
    </row>
    <row r="60">
      <c r="A60" s="28" t="inlineStr">
        <is>
          <t>Motor voltage</t>
        </is>
      </c>
      <c r="B60" s="31" t="n">
        <v>2300</v>
      </c>
      <c r="C60" s="30" t="inlineStr"/>
      <c r="F60" s="27" t="inlineStr">
        <is>
          <t>Volts, nameplate.</t>
        </is>
      </c>
    </row>
    <row r="61">
      <c r="A61" s="28" t="inlineStr">
        <is>
          <t>Motor power factor</t>
        </is>
      </c>
      <c r="B61" s="41" t="n">
        <v>0.85</v>
      </c>
      <c r="C61" s="30" t="inlineStr"/>
    </row>
    <row r="62">
      <c r="A62" s="28" t="inlineStr">
        <is>
          <t>Cable voltage drop</t>
        </is>
      </c>
      <c r="B62" s="37" t="n">
        <v>12</v>
      </c>
      <c r="C62" s="30" t="inlineStr"/>
      <c r="F62" s="27" t="inlineStr">
        <is>
          <t>Volts per 1000 ft of cable at motor amps.</t>
        </is>
      </c>
    </row>
    <row r="63">
      <c r="A63" s="28" t="inlineStr">
        <is>
          <t>Stages required</t>
        </is>
      </c>
      <c r="B63" s="59">
        <f>ROUNDUP(ROUND($B$51/$B$57,6),0)</f>
        <v/>
      </c>
      <c r="C63" s="30" t="inlineStr"/>
    </row>
    <row r="64">
      <c r="A64" s="28" t="inlineStr">
        <is>
          <t>Pump brake horsepower</t>
        </is>
      </c>
      <c r="B64" s="54">
        <f>$B$63*$B$58*$B$44</f>
        <v/>
      </c>
      <c r="C64" s="30" t="inlineStr">
        <is>
          <t>hp</t>
        </is>
      </c>
      <c r="D64" s="40">
        <f>IFERROR($B$64*0.7456999,NA())</f>
        <v/>
      </c>
      <c r="E64" s="30" t="inlineStr">
        <is>
          <t>kW</t>
        </is>
      </c>
    </row>
    <row r="65">
      <c r="A65" s="28" t="inlineStr">
        <is>
          <t>Motor HP required</t>
        </is>
      </c>
      <c r="B65" s="59">
        <f>ROUNDUP(ROUND($B$64*$B$59,6),0)</f>
        <v/>
      </c>
      <c r="C65" s="30" t="inlineStr">
        <is>
          <t>hp</t>
        </is>
      </c>
      <c r="D65" s="32">
        <f>IFERROR($B$65*0.7456999,NA())</f>
        <v/>
      </c>
      <c r="E65" s="30" t="inlineStr">
        <is>
          <t>kW</t>
        </is>
      </c>
    </row>
    <row r="66">
      <c r="A66" s="28" t="inlineStr">
        <is>
          <t>Motor power</t>
        </is>
      </c>
      <c r="B66" s="54">
        <f>$B$65*0.7457</f>
        <v/>
      </c>
      <c r="C66" s="30" t="inlineStr"/>
      <c r="F66" s="27" t="inlineStr">
        <is>
          <t>kW.</t>
        </is>
      </c>
    </row>
    <row r="67">
      <c r="A67" s="28" t="inlineStr">
        <is>
          <t>Surface voltage required</t>
        </is>
      </c>
      <c r="B67" s="59">
        <f>$B$60+$B$62*$B$14/1000</f>
        <v/>
      </c>
      <c r="C67" s="30" t="inlineStr"/>
      <c r="F67" s="27" t="inlineStr">
        <is>
          <t>Volts: motor nameplate plus cable drop over the setting depth.</t>
        </is>
      </c>
    </row>
    <row r="68">
      <c r="A68" s="28" t="inlineStr">
        <is>
          <t>Motor current estimate</t>
        </is>
      </c>
      <c r="B68" s="54">
        <f>$B$65*746/(1.732*$B$60*$B$61*0.9)</f>
        <v/>
      </c>
      <c r="C68" s="30" t="inlineStr"/>
      <c r="F68" s="27" t="inlineStr">
        <is>
          <t>Amps. I = HP x 746 / (1.732 x V x PF x 0.9) - the 0.9 is an assumed motor efficiency constant.</t>
        </is>
      </c>
    </row>
    <row r="69">
      <c r="A69" s="28" t="inlineStr">
        <is>
          <t>Surface kVA</t>
        </is>
      </c>
      <c r="B69" s="54">
        <f>1.732*$B$67*$B$68/1000</f>
        <v/>
      </c>
      <c r="C69" s="30" t="inlineStr"/>
    </row>
    <row r="70">
      <c r="A70" s="27" t="inlineStr">
        <is>
          <t>Check the design rate against the catalog operating range</t>
        </is>
      </c>
      <c r="F70" s="27" t="inlineStr">
        <is>
          <t>Desired rate must sit inside the recommended range of the pump curve - running left of range causes downthrust wear, right of range causes upthrust wear.</t>
        </is>
      </c>
    </row>
    <row r="71">
      <c r="A71" s="27" t="inlineStr">
        <is>
          <t>Thrust limits</t>
        </is>
      </c>
      <c r="F71" s="27" t="inlineStr">
        <is>
          <t>Verify downthrust/upthrust limits for the stage count and head at the operating point against the manufacturer thrust charts.</t>
        </is>
      </c>
    </row>
    <row r="72">
      <c r="A72" s="27" t="inlineStr">
        <is>
          <t>Start-up current</t>
        </is>
      </c>
      <c r="F72" s="27" t="inlineStr">
        <is>
          <t>Direct-start ESP motors draw roughly 3-5x running amps at start-up - confirm generator/transformer and cable are rated for it (soft start or VSD reduces this).</t>
        </is>
      </c>
    </row>
  </sheetData>
  <sheetProtection selectLockedCells="0" selectUnlockedCells="0" sheet="1" objects="0" insertRows="1" insertHyperlinks="1" autoFilter="1" scenarios="0" formatColumns="0" deleteColumns="1" insertColumns="1" pivotTables="1" deleteRows="1" formatCells="1" formatRows="0" sort="1"/>
  <mergeCells count="6">
    <mergeCell ref="A2:F2"/>
    <mergeCell ref="A1:F1"/>
    <mergeCell ref="A6:F6"/>
    <mergeCell ref="A39:F39"/>
    <mergeCell ref="A53:F53"/>
    <mergeCell ref="A25:F25"/>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32.xml><?xml version="1.0" encoding="utf-8"?>
<worksheet xmlns="http://schemas.openxmlformats.org/spreadsheetml/2006/main">
  <sheetPr>
    <tabColor rgb="00548235"/>
    <outlinePr summaryBelow="1" summaryRight="1"/>
    <pageSetUpPr/>
  </sheetPr>
  <dimension ref="A1:G73"/>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Continuous Gas Lift Design</t>
        </is>
      </c>
      <c r="B1" s="2" t="n"/>
      <c r="C1" s="2" t="n"/>
      <c r="D1" s="2" t="n"/>
      <c r="E1" s="2" t="n"/>
      <c r="F1" s="2" t="n"/>
    </row>
    <row r="2">
      <c r="A2" s="20" t="inlineStr">
        <is>
          <t>Load-fluid valve spacing with gas-column casing pressure, injection gas requirement and nitrogen dome pressure correction</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Design Inputs</t>
        </is>
      </c>
      <c r="B6" s="24" t="n"/>
      <c r="C6" s="24" t="n"/>
      <c r="D6" s="24" t="n"/>
      <c r="E6" s="24" t="n"/>
      <c r="F6" s="24" t="n"/>
    </row>
    <row r="8">
      <c r="A8" s="25" t="inlineStr">
        <is>
          <t>Well &amp; Design Data</t>
        </is>
      </c>
      <c r="B8" s="26" t="n"/>
      <c r="C8" s="26" t="n"/>
      <c r="D8" s="26" t="n"/>
      <c r="E8" s="26" t="n"/>
      <c r="F8" s="49" t="inlineStr">
        <is>
          <t>Pwf = Pres - Q/J</t>
        </is>
      </c>
    </row>
    <row r="9">
      <c r="A9" t="inlineStr"/>
      <c r="F9" s="27" t="inlineStr">
        <is>
          <t>Tubing/casing IDs are linked for reference - the unloading gradient and target GLR below come from gradient curves for this tubing size and rate.</t>
        </is>
      </c>
    </row>
    <row r="10">
      <c r="A10" s="28" t="inlineStr">
        <is>
          <t>Reservoir pressure (Pres)</t>
        </is>
      </c>
      <c r="B10" s="64">
        <f>WD_ResP</f>
        <v/>
      </c>
      <c r="C10" s="30" t="inlineStr">
        <is>
          <t>psi</t>
        </is>
      </c>
      <c r="D10" s="32">
        <f>IFERROR($B$10*6.894757,NA())</f>
        <v/>
      </c>
      <c r="E10" s="30" t="inlineStr">
        <is>
          <t>kPa</t>
        </is>
      </c>
      <c r="F10" s="27" t="inlineStr">
        <is>
          <t>Linked to Well Data sheet - overwrite locally if this well differs.</t>
        </is>
      </c>
    </row>
    <row r="11">
      <c r="A11" s="28" t="inlineStr">
        <is>
          <t>Perforation TVD</t>
        </is>
      </c>
      <c r="B11" s="64">
        <f>WD_PerfTVD</f>
        <v/>
      </c>
      <c r="C11" s="30" t="inlineStr">
        <is>
          <t>ft</t>
        </is>
      </c>
      <c r="D11" s="32">
        <f>IFERROR($B$11*0.3048,NA())</f>
        <v/>
      </c>
      <c r="E11" s="30" t="inlineStr">
        <is>
          <t>m</t>
        </is>
      </c>
      <c r="F11" s="27" t="inlineStr">
        <is>
          <t>Linked to Well Data sheet - overwrite locally if this well differs.</t>
        </is>
      </c>
    </row>
    <row r="12">
      <c r="A12" s="28" t="inlineStr">
        <is>
          <t>Tubing ID</t>
        </is>
      </c>
      <c r="B12" s="84">
        <f>WD_TbgID</f>
        <v/>
      </c>
      <c r="C12" s="30" t="inlineStr">
        <is>
          <t>in</t>
        </is>
      </c>
      <c r="D12" s="34">
        <f>IFERROR($B$12*25.4,NA())</f>
        <v/>
      </c>
      <c r="E12" s="30" t="inlineStr">
        <is>
          <t>mm</t>
        </is>
      </c>
      <c r="F12" s="27" t="inlineStr">
        <is>
          <t>Linked to Well Data sheet - overwrite locally if this well differs.</t>
        </is>
      </c>
    </row>
    <row r="13">
      <c r="A13" s="28" t="inlineStr">
        <is>
          <t>Casing ID</t>
        </is>
      </c>
      <c r="B13" s="84">
        <f>WD_CsgID</f>
        <v/>
      </c>
      <c r="C13" s="30" t="inlineStr">
        <is>
          <t>in</t>
        </is>
      </c>
      <c r="D13" s="34">
        <f>IFERROR($B$13*25.4,NA())</f>
        <v/>
      </c>
      <c r="E13" s="30" t="inlineStr">
        <is>
          <t>mm</t>
        </is>
      </c>
      <c r="F13" s="27" t="inlineStr">
        <is>
          <t>Linked to Well Data sheet - overwrite locally if this well differs.</t>
        </is>
      </c>
    </row>
    <row r="14">
      <c r="A14" s="28" t="inlineStr">
        <is>
          <t>Target rate (Q)</t>
        </is>
      </c>
      <c r="B14" s="31" t="n">
        <v>1200</v>
      </c>
      <c r="C14" s="30" t="inlineStr"/>
      <c r="F14" s="27" t="inlineStr">
        <is>
          <t>bpd liquid.</t>
        </is>
      </c>
    </row>
    <row r="15">
      <c r="A15" s="28" t="inlineStr">
        <is>
          <t>Productivity index (J)</t>
        </is>
      </c>
      <c r="B15" s="41" t="n">
        <v>1</v>
      </c>
      <c r="C15" s="30" t="inlineStr"/>
      <c r="F15" s="27" t="inlineStr">
        <is>
          <t>bpd/psi.</t>
        </is>
      </c>
    </row>
    <row r="16">
      <c r="A16" s="28" t="inlineStr">
        <is>
          <t>Wellhead flowing pressure (Pwh)</t>
        </is>
      </c>
      <c r="B16" s="31" t="n">
        <v>100</v>
      </c>
      <c r="C16" s="30" t="inlineStr">
        <is>
          <t>psi</t>
        </is>
      </c>
      <c r="D16" s="32">
        <f>IFERROR($B$16*6.894757,NA())</f>
        <v/>
      </c>
      <c r="E16" s="30" t="inlineStr">
        <is>
          <t>kPa</t>
        </is>
      </c>
    </row>
    <row r="17">
      <c r="A17" s="28" t="inlineStr">
        <is>
          <t>Kick-off / injection surface pressure (Pko)</t>
        </is>
      </c>
      <c r="B17" s="31" t="n">
        <v>1000</v>
      </c>
      <c r="C17" s="30" t="inlineStr">
        <is>
          <t>psi</t>
        </is>
      </c>
      <c r="D17" s="32">
        <f>IFERROR($B$17*6.894757,NA())</f>
        <v/>
      </c>
      <c r="E17" s="30" t="inlineStr">
        <is>
          <t>kPa</t>
        </is>
      </c>
      <c r="F17" s="27" t="inlineStr">
        <is>
          <t>Available casing-head injection pressure.</t>
        </is>
      </c>
    </row>
    <row r="18">
      <c r="A18" s="28" t="inlineStr">
        <is>
          <t>Injection gas specific gravity</t>
        </is>
      </c>
      <c r="B18" s="41" t="n">
        <v>0.65</v>
      </c>
      <c r="C18" s="30" t="inlineStr"/>
      <c r="F18" s="27" t="inlineStr">
        <is>
          <t>Air = 1.0.</t>
        </is>
      </c>
    </row>
    <row r="19">
      <c r="A19" s="28" t="inlineStr">
        <is>
          <t>Average surface temperature</t>
        </is>
      </c>
      <c r="B19" s="37" t="n">
        <v>80</v>
      </c>
      <c r="C19" s="30" t="inlineStr"/>
      <c r="D19" s="40">
        <f>IFERROR(($B$19-32)/1.8,NA())</f>
        <v/>
      </c>
      <c r="E19" s="30" t="inlineStr">
        <is>
          <t>degC</t>
        </is>
      </c>
      <c r="F19" s="27" t="inlineStr">
        <is>
          <t>degF.</t>
        </is>
      </c>
    </row>
    <row r="20">
      <c r="A20" s="28" t="inlineStr">
        <is>
          <t>Temperature gradient</t>
        </is>
      </c>
      <c r="B20" s="41" t="n">
        <v>1.6</v>
      </c>
      <c r="C20" s="30" t="inlineStr"/>
      <c r="F20" s="27" t="inlineStr">
        <is>
          <t>degF per 100 ft.</t>
        </is>
      </c>
    </row>
    <row r="21">
      <c r="A21" s="28" t="inlineStr">
        <is>
          <t>Load (kill) fluid gradient (Gs)</t>
        </is>
      </c>
      <c r="B21" s="33" t="n">
        <v>0.465</v>
      </c>
      <c r="C21" s="30" t="inlineStr">
        <is>
          <t>psi/ft</t>
        </is>
      </c>
      <c r="D21" s="34">
        <f>IFERROR($B$21*22.62059,NA())</f>
        <v/>
      </c>
      <c r="E21" s="30" t="inlineStr">
        <is>
          <t>kPa/m</t>
        </is>
      </c>
      <c r="F21" s="27" t="inlineStr">
        <is>
          <t>Static gradient of the fluid the well is loaded with.</t>
        </is>
      </c>
    </row>
    <row r="22">
      <c r="A22" s="28" t="inlineStr">
        <is>
          <t>Unloading tubing gradient (Gf)</t>
        </is>
      </c>
      <c r="B22" s="33" t="n">
        <v>0.15</v>
      </c>
      <c r="C22" s="30" t="inlineStr">
        <is>
          <t>psi/ft</t>
        </is>
      </c>
      <c r="D22" s="34">
        <f>IFERROR($B$22*22.62059,NA())</f>
        <v/>
      </c>
      <c r="E22" s="30" t="inlineStr">
        <is>
          <t>kPa/m</t>
        </is>
      </c>
      <c r="F22" s="27" t="inlineStr">
        <is>
          <t>Flowing gradient above the injection point - from gradient curves for the target rate and tubing size.</t>
        </is>
      </c>
    </row>
    <row r="23">
      <c r="A23" s="28" t="inlineStr">
        <is>
          <t>Casing pressure drop per valve</t>
        </is>
      </c>
      <c r="B23" s="31" t="n">
        <v>25</v>
      </c>
      <c r="C23" s="30" t="inlineStr">
        <is>
          <t>psi</t>
        </is>
      </c>
      <c r="D23" s="32">
        <f>IFERROR($B$23*6.894757,NA())</f>
        <v/>
      </c>
      <c r="E23" s="30" t="inlineStr">
        <is>
          <t>kPa</t>
        </is>
      </c>
      <c r="F23" s="27" t="inlineStr">
        <is>
          <t>Surface injection pressure is reduced this much for each valve already uncovered.</t>
        </is>
      </c>
    </row>
    <row r="24">
      <c r="A24" s="28" t="inlineStr">
        <is>
          <t>Valve transfer dP margin</t>
        </is>
      </c>
      <c r="B24" s="31" t="n">
        <v>50</v>
      </c>
      <c r="C24" s="30" t="inlineStr">
        <is>
          <t>psi</t>
        </is>
      </c>
      <c r="D24" s="32">
        <f>IFERROR($B$24*6.894757,NA())</f>
        <v/>
      </c>
      <c r="E24" s="30" t="inlineStr">
        <is>
          <t>kPa</t>
        </is>
      </c>
      <c r="F24" s="27" t="inlineStr">
        <is>
          <t>Casing-to-tubing differential reserved at each transfer.</t>
        </is>
      </c>
    </row>
    <row r="25">
      <c r="A25" s="28" t="inlineStr">
        <is>
          <t>Flowing BHP at target rate (Pwf)</t>
        </is>
      </c>
      <c r="B25" s="59">
        <f>$B$10-$B$14/$B$15</f>
        <v/>
      </c>
      <c r="C25" s="30" t="inlineStr">
        <is>
          <t>psi</t>
        </is>
      </c>
      <c r="D25" s="32">
        <f>IFERROR($B$25*6.894757,NA())</f>
        <v/>
      </c>
      <c r="E25" s="30" t="inlineStr">
        <is>
          <t>kPa</t>
        </is>
      </c>
    </row>
    <row r="26">
      <c r="A26" s="27" t="inlineStr">
        <is>
          <t>Target injection depth</t>
        </is>
      </c>
      <c r="F26" s="27" t="inlineStr">
        <is>
          <t>As deep as the casing pressure allows - the deepest valve from the spacing table below is the operating (injection) point.</t>
        </is>
      </c>
    </row>
    <row r="28" ht="20" customHeight="1">
      <c r="A28" s="23" t="inlineStr">
        <is>
          <t>Gas Column &amp; Casing Pressure</t>
        </is>
      </c>
      <c r="B28" s="24" t="n"/>
      <c r="C28" s="24" t="n"/>
      <c r="D28" s="24" t="n"/>
      <c r="E28" s="24" t="n"/>
      <c r="F28" s="24" t="n"/>
    </row>
    <row r="30">
      <c r="A30" s="25" t="inlineStr">
        <is>
          <t>Static Gas Column - Worked Example</t>
        </is>
      </c>
      <c r="B30" s="26" t="n"/>
      <c r="C30" s="26" t="n"/>
      <c r="D30" s="26" t="n"/>
      <c r="E30" s="26" t="n"/>
      <c r="F30" s="49" t="inlineStr">
        <is>
          <t>Pcsg(D) = Psurf x EXP(0.01875 x SG x D / (Tavg_R x Z));   Tavg_R = 460 + Tsurf + Tgrad x D/200</t>
        </is>
      </c>
    </row>
    <row r="31">
      <c r="A31" t="inlineStr"/>
      <c r="F31" s="27" t="inlineStr">
        <is>
          <t>Weight of the static injection-gas column adds to the surface casing pressure. Tavg_R is the mean of surface and at-depth temperatures in Rankine (simplified average-column temperature). Z is an average gas deviation factor for the column.</t>
        </is>
      </c>
    </row>
    <row r="32">
      <c r="A32" s="28" t="inlineStr">
        <is>
          <t>Gas deviation factor (Z, average)</t>
        </is>
      </c>
      <c r="B32" s="41" t="n">
        <v>0.9</v>
      </c>
      <c r="C32" s="30" t="inlineStr"/>
    </row>
    <row r="33">
      <c r="A33" s="28" t="inlineStr">
        <is>
          <t>Example depth</t>
        </is>
      </c>
      <c r="B33" s="31" t="n">
        <v>6000</v>
      </c>
      <c r="C33" s="30" t="inlineStr">
        <is>
          <t>ft</t>
        </is>
      </c>
      <c r="D33" s="32">
        <f>IFERROR($B$33*0.3048,NA())</f>
        <v/>
      </c>
      <c r="E33" s="30" t="inlineStr">
        <is>
          <t>m</t>
        </is>
      </c>
    </row>
    <row r="34">
      <c r="A34" s="28" t="inlineStr">
        <is>
          <t>Average column temperature (Tavg_R)</t>
        </is>
      </c>
      <c r="B34" s="54">
        <f>460+$B$19+$B$20*$B$33/200</f>
        <v/>
      </c>
      <c r="C34" s="30" t="inlineStr"/>
      <c r="F34" s="27" t="inlineStr">
        <is>
          <t>degR.</t>
        </is>
      </c>
    </row>
    <row r="35">
      <c r="A35" s="28" t="inlineStr">
        <is>
          <t>Casing pressure at example depth</t>
        </is>
      </c>
      <c r="B35" s="59">
        <f>$B$17*EXP(0.01875*$B$18*$B$33/($B$34*$B$32))</f>
        <v/>
      </c>
      <c r="C35" s="30" t="inlineStr">
        <is>
          <t>psi</t>
        </is>
      </c>
      <c r="D35" s="32">
        <f>IFERROR($B$35*6.894757,NA())</f>
        <v/>
      </c>
      <c r="E35" s="30" t="inlineStr">
        <is>
          <t>kPa</t>
        </is>
      </c>
      <c r="F35" s="27" t="inlineStr">
        <is>
          <t>At Pko surface pressure - the table below repeats this per valve with the reduced surface pressure.</t>
        </is>
      </c>
    </row>
    <row r="37">
      <c r="A37" s="89" t="inlineStr">
        <is>
          <t>Valve Spacing Table - load-fluid design (D1 = (Pko - Pwh)/Gs; Dn = Dn-1 + (Pcsg@Dn-1 - Pt@Dn-1 - margin)/Gs)</t>
        </is>
      </c>
      <c r="B37" s="24" t="n"/>
      <c r="C37" s="24" t="n"/>
      <c r="D37" s="24" t="n"/>
      <c r="E37" s="24" t="n"/>
      <c r="F37" s="24" t="n"/>
    </row>
    <row r="38">
      <c r="A38" s="66" t="inlineStr">
        <is>
          <t>Valve #</t>
        </is>
      </c>
      <c r="B38" s="67" t="inlineStr">
        <is>
          <t>Depth (ft)</t>
        </is>
      </c>
      <c r="C38" s="67" t="inlineStr">
        <is>
          <t>Pcsg surf (psi)</t>
        </is>
      </c>
      <c r="D38" s="67" t="inlineStr">
        <is>
          <t>Pcsg @ depth (psi)</t>
        </is>
      </c>
      <c r="E38" s="67" t="inlineStr">
        <is>
          <t>Pt @ depth (psi)</t>
        </is>
      </c>
      <c r="F38" s="67" t="inlineStr">
        <is>
          <t>Spacing to next (ft)</t>
        </is>
      </c>
      <c r="G38" s="67" t="inlineStr">
        <is>
          <t>depth*</t>
        </is>
      </c>
    </row>
    <row r="39">
      <c r="A39" s="120" t="n">
        <v>1</v>
      </c>
      <c r="B39" s="121">
        <f>MIN(($B$17-$B$16)/$B$21,$B$11-100)</f>
        <v/>
      </c>
      <c r="C39" s="71">
        <f>IF(ISNA($B39),NA(),$B$17-0*$B$23)</f>
        <v/>
      </c>
      <c r="D39" s="71">
        <f>IF(ISNA($B39),NA(),$C39*EXP(0.01875*$B$18*$B39/((460+$B$19+$B$20*$B39/200)*$B$32)))</f>
        <v/>
      </c>
      <c r="E39" s="71">
        <f>IF(ISNA($B39),NA(),$B$16+$B$22*$B39)</f>
        <v/>
      </c>
      <c r="F39" s="121">
        <f>IF(ISNA($B39),NA(),($D39-$E39-$B$24)/$B$21)</f>
        <v/>
      </c>
      <c r="G39" s="122">
        <f>IF(ISNA($B39),0,$B39)</f>
        <v/>
      </c>
    </row>
    <row r="40">
      <c r="A40" s="120">
        <f>IF(ISNA($B40),NA(),2)</f>
        <v/>
      </c>
      <c r="B40" s="121">
        <f>IF(ISNA($B39),NA(),IF(OR($B39&gt;=$B$11-100,$F39&lt;=0),NA(),MIN($B39+$F39,$B$11-100)))</f>
        <v/>
      </c>
      <c r="C40" s="71">
        <f>IF(ISNA($B40),NA(),$B$17-1*$B$23)</f>
        <v/>
      </c>
      <c r="D40" s="71">
        <f>IF(ISNA($B40),NA(),$C40*EXP(0.01875*$B$18*$B40/((460+$B$19+$B$20*$B40/200)*$B$32)))</f>
        <v/>
      </c>
      <c r="E40" s="71">
        <f>IF(ISNA($B40),NA(),$B$16+$B$22*$B40)</f>
        <v/>
      </c>
      <c r="F40" s="121">
        <f>IF(ISNA($B40),NA(),($D40-$E40-$B$24)/$B$21)</f>
        <v/>
      </c>
      <c r="G40" s="122">
        <f>IF(ISNA($B40),0,$B40)</f>
        <v/>
      </c>
    </row>
    <row r="41">
      <c r="A41" s="120">
        <f>IF(ISNA($B41),NA(),3)</f>
        <v/>
      </c>
      <c r="B41" s="121">
        <f>IF(ISNA($B40),NA(),IF(OR($B40&gt;=$B$11-100,$F40&lt;=0),NA(),MIN($B40+$F40,$B$11-100)))</f>
        <v/>
      </c>
      <c r="C41" s="71">
        <f>IF(ISNA($B41),NA(),$B$17-2*$B$23)</f>
        <v/>
      </c>
      <c r="D41" s="71">
        <f>IF(ISNA($B41),NA(),$C41*EXP(0.01875*$B$18*$B41/((460+$B$19+$B$20*$B41/200)*$B$32)))</f>
        <v/>
      </c>
      <c r="E41" s="71">
        <f>IF(ISNA($B41),NA(),$B$16+$B$22*$B41)</f>
        <v/>
      </c>
      <c r="F41" s="121">
        <f>IF(ISNA($B41),NA(),($D41-$E41-$B$24)/$B$21)</f>
        <v/>
      </c>
      <c r="G41" s="122">
        <f>IF(ISNA($B41),0,$B41)</f>
        <v/>
      </c>
    </row>
    <row r="42">
      <c r="A42" s="120">
        <f>IF(ISNA($B42),NA(),4)</f>
        <v/>
      </c>
      <c r="B42" s="121">
        <f>IF(ISNA($B41),NA(),IF(OR($B41&gt;=$B$11-100,$F41&lt;=0),NA(),MIN($B41+$F41,$B$11-100)))</f>
        <v/>
      </c>
      <c r="C42" s="71">
        <f>IF(ISNA($B42),NA(),$B$17-3*$B$23)</f>
        <v/>
      </c>
      <c r="D42" s="71">
        <f>IF(ISNA($B42),NA(),$C42*EXP(0.01875*$B$18*$B42/((460+$B$19+$B$20*$B42/200)*$B$32)))</f>
        <v/>
      </c>
      <c r="E42" s="71">
        <f>IF(ISNA($B42),NA(),$B$16+$B$22*$B42)</f>
        <v/>
      </c>
      <c r="F42" s="121">
        <f>IF(ISNA($B42),NA(),($D42-$E42-$B$24)/$B$21)</f>
        <v/>
      </c>
      <c r="G42" s="122">
        <f>IF(ISNA($B42),0,$B42)</f>
        <v/>
      </c>
    </row>
    <row r="43">
      <c r="A43" s="120">
        <f>IF(ISNA($B43),NA(),5)</f>
        <v/>
      </c>
      <c r="B43" s="121">
        <f>IF(ISNA($B42),NA(),IF(OR($B42&gt;=$B$11-100,$F42&lt;=0),NA(),MIN($B42+$F42,$B$11-100)))</f>
        <v/>
      </c>
      <c r="C43" s="71">
        <f>IF(ISNA($B43),NA(),$B$17-4*$B$23)</f>
        <v/>
      </c>
      <c r="D43" s="71">
        <f>IF(ISNA($B43),NA(),$C43*EXP(0.01875*$B$18*$B43/((460+$B$19+$B$20*$B43/200)*$B$32)))</f>
        <v/>
      </c>
      <c r="E43" s="71">
        <f>IF(ISNA($B43),NA(),$B$16+$B$22*$B43)</f>
        <v/>
      </c>
      <c r="F43" s="121">
        <f>IF(ISNA($B43),NA(),($D43-$E43-$B$24)/$B$21)</f>
        <v/>
      </c>
      <c r="G43" s="122">
        <f>IF(ISNA($B43),0,$B43)</f>
        <v/>
      </c>
    </row>
    <row r="44">
      <c r="A44" s="120">
        <f>IF(ISNA($B44),NA(),6)</f>
        <v/>
      </c>
      <c r="B44" s="121">
        <f>IF(ISNA($B43),NA(),IF(OR($B43&gt;=$B$11-100,$F43&lt;=0),NA(),MIN($B43+$F43,$B$11-100)))</f>
        <v/>
      </c>
      <c r="C44" s="71">
        <f>IF(ISNA($B44),NA(),$B$17-5*$B$23)</f>
        <v/>
      </c>
      <c r="D44" s="71">
        <f>IF(ISNA($B44),NA(),$C44*EXP(0.01875*$B$18*$B44/((460+$B$19+$B$20*$B44/200)*$B$32)))</f>
        <v/>
      </c>
      <c r="E44" s="71">
        <f>IF(ISNA($B44),NA(),$B$16+$B$22*$B44)</f>
        <v/>
      </c>
      <c r="F44" s="121">
        <f>IF(ISNA($B44),NA(),($D44-$E44-$B$24)/$B$21)</f>
        <v/>
      </c>
      <c r="G44" s="122">
        <f>IF(ISNA($B44),0,$B44)</f>
        <v/>
      </c>
    </row>
    <row r="45">
      <c r="A45" s="120">
        <f>IF(ISNA($B45),NA(),7)</f>
        <v/>
      </c>
      <c r="B45" s="121">
        <f>IF(ISNA($B44),NA(),IF(OR($B44&gt;=$B$11-100,$F44&lt;=0),NA(),MIN($B44+$F44,$B$11-100)))</f>
        <v/>
      </c>
      <c r="C45" s="71">
        <f>IF(ISNA($B45),NA(),$B$17-6*$B$23)</f>
        <v/>
      </c>
      <c r="D45" s="71">
        <f>IF(ISNA($B45),NA(),$C45*EXP(0.01875*$B$18*$B45/((460+$B$19+$B$20*$B45/200)*$B$32)))</f>
        <v/>
      </c>
      <c r="E45" s="71">
        <f>IF(ISNA($B45),NA(),$B$16+$B$22*$B45)</f>
        <v/>
      </c>
      <c r="F45" s="121">
        <f>IF(ISNA($B45),NA(),($D45-$E45-$B$24)/$B$21)</f>
        <v/>
      </c>
      <c r="G45" s="122">
        <f>IF(ISNA($B45),0,$B45)</f>
        <v/>
      </c>
    </row>
    <row r="46">
      <c r="A46" s="120">
        <f>IF(ISNA($B46),NA(),8)</f>
        <v/>
      </c>
      <c r="B46" s="121">
        <f>IF(ISNA($B45),NA(),IF(OR($B45&gt;=$B$11-100,$F45&lt;=0),NA(),MIN($B45+$F45,$B$11-100)))</f>
        <v/>
      </c>
      <c r="C46" s="71">
        <f>IF(ISNA($B46),NA(),$B$17-7*$B$23)</f>
        <v/>
      </c>
      <c r="D46" s="71">
        <f>IF(ISNA($B46),NA(),$C46*EXP(0.01875*$B$18*$B46/((460+$B$19+$B$20*$B46/200)*$B$32)))</f>
        <v/>
      </c>
      <c r="E46" s="71">
        <f>IF(ISNA($B46),NA(),$B$16+$B$22*$B46)</f>
        <v/>
      </c>
      <c r="F46" s="121">
        <f>IF(ISNA($B46),NA(),($D46-$E46-$B$24)/$B$21)</f>
        <v/>
      </c>
      <c r="G46" s="122">
        <f>IF(ISNA($B46),0,$B46)</f>
        <v/>
      </c>
    </row>
    <row r="47">
      <c r="A47" s="120">
        <f>IF(ISNA($B47),NA(),9)</f>
        <v/>
      </c>
      <c r="B47" s="121">
        <f>IF(ISNA($B46),NA(),IF(OR($B46&gt;=$B$11-100,$F46&lt;=0),NA(),MIN($B46+$F46,$B$11-100)))</f>
        <v/>
      </c>
      <c r="C47" s="71">
        <f>IF(ISNA($B47),NA(),$B$17-8*$B$23)</f>
        <v/>
      </c>
      <c r="D47" s="71">
        <f>IF(ISNA($B47),NA(),$C47*EXP(0.01875*$B$18*$B47/((460+$B$19+$B$20*$B47/200)*$B$32)))</f>
        <v/>
      </c>
      <c r="E47" s="71">
        <f>IF(ISNA($B47),NA(),$B$16+$B$22*$B47)</f>
        <v/>
      </c>
      <c r="F47" s="121">
        <f>IF(ISNA($B47),NA(),($D47-$E47-$B$24)/$B$21)</f>
        <v/>
      </c>
      <c r="G47" s="122">
        <f>IF(ISNA($B47),0,$B47)</f>
        <v/>
      </c>
    </row>
    <row r="48">
      <c r="A48" s="120">
        <f>IF(ISNA($B48),NA(),10)</f>
        <v/>
      </c>
      <c r="B48" s="121">
        <f>IF(ISNA($B47),NA(),IF(OR($B47&gt;=$B$11-100,$F47&lt;=0),NA(),MIN($B47+$F47,$B$11-100)))</f>
        <v/>
      </c>
      <c r="C48" s="71">
        <f>IF(ISNA($B48),NA(),$B$17-9*$B$23)</f>
        <v/>
      </c>
      <c r="D48" s="71">
        <f>IF(ISNA($B48),NA(),$C48*EXP(0.01875*$B$18*$B48/((460+$B$19+$B$20*$B48/200)*$B$32)))</f>
        <v/>
      </c>
      <c r="E48" s="71">
        <f>IF(ISNA($B48),NA(),$B$16+$B$22*$B48)</f>
        <v/>
      </c>
      <c r="F48" s="121">
        <f>IF(ISNA($B48),NA(),($D48-$E48-$B$24)/$B$21)</f>
        <v/>
      </c>
      <c r="G48" s="122">
        <f>IF(ISNA($B48),0,$B48)</f>
        <v/>
      </c>
    </row>
    <row r="49">
      <c r="A49" s="9" t="inlineStr">
        <is>
          <t>* helper column: depth with #N/A rows as 0, so MAX() below returns the deepest valve. Depths cap at perf TVD - 100 ft; rows past the cap show #N/A by design (chart gap). Pcsg surf drops 'drop-per-valve' for each prior valve.</t>
        </is>
      </c>
    </row>
    <row r="51">
      <c r="A51" s="25" t="inlineStr">
        <is>
          <t>Operating (Deepest) Valve</t>
        </is>
      </c>
      <c r="B51" s="26" t="n"/>
      <c r="C51" s="26" t="n"/>
      <c r="D51" s="26" t="n"/>
      <c r="E51" s="26" t="n"/>
      <c r="F51" s="26" t="n"/>
    </row>
    <row r="52">
      <c r="A52" s="28" t="inlineStr">
        <is>
          <t>Operating valve depth</t>
        </is>
      </c>
      <c r="B52" s="60">
        <f>MAX($G$39:$G$48)</f>
        <v/>
      </c>
      <c r="C52" s="30" t="inlineStr">
        <is>
          <t>ft</t>
        </is>
      </c>
      <c r="D52" s="61">
        <f>IFERROR($B$52*0.3048,NA())</f>
        <v/>
      </c>
      <c r="E52" s="30" t="inlineStr">
        <is>
          <t>m</t>
        </is>
      </c>
      <c r="F52" s="27" t="inlineStr">
        <is>
          <t>Deepest numeric depth in the table - the design injection point.</t>
        </is>
      </c>
    </row>
    <row r="53">
      <c r="A53" s="28" t="inlineStr">
        <is>
          <t>Depth status</t>
        </is>
      </c>
      <c r="B53" s="72">
        <f>IF($B$52&gt;=0.85*($B$11-100),"OK - injection point near target depth",IF($B$52&gt;=0.6*($B$11-100),"MARGINAL - injection point well above target depth","CHECK: INSUFFICIENT casing pressure - injection point shallow"))</f>
        <v/>
      </c>
      <c r="C53" s="30" t="inlineStr"/>
    </row>
    <row r="55" ht="20" customHeight="1">
      <c r="A55" s="23" t="inlineStr">
        <is>
          <t>Injection Gas Requirement</t>
        </is>
      </c>
      <c r="B55" s="24" t="n"/>
      <c r="C55" s="24" t="n"/>
      <c r="D55" s="24" t="n"/>
      <c r="E55" s="24" t="n"/>
      <c r="F55" s="24" t="n"/>
    </row>
    <row r="57">
      <c r="A57" s="25" t="inlineStr">
        <is>
          <t>Injection Gas Rate</t>
        </is>
      </c>
      <c r="B57" s="26" t="n"/>
      <c r="C57" s="26" t="n"/>
      <c r="D57" s="26" t="n"/>
      <c r="E57" s="26" t="n"/>
      <c r="F57" s="49" t="inlineStr">
        <is>
          <t>inj GLR = target GLR - formation GLR;   Qgi [Mscf/d] = inj GLR x Q / 1000</t>
        </is>
      </c>
    </row>
    <row r="58">
      <c r="A58" t="inlineStr"/>
      <c r="F58" s="27" t="inlineStr">
        <is>
          <t>Target total GLR from gradient curves for the target rate and tubing size - the GLR that gives the flattest practical flowing gradient.</t>
        </is>
      </c>
    </row>
    <row r="59">
      <c r="A59" s="28" t="inlineStr">
        <is>
          <t>Target total GLR</t>
        </is>
      </c>
      <c r="B59" s="31" t="n">
        <v>400</v>
      </c>
      <c r="C59" s="30" t="inlineStr">
        <is>
          <t>scf/bbl</t>
        </is>
      </c>
      <c r="D59" s="32">
        <f>IFERROR($B$59*0.1781076,NA())</f>
        <v/>
      </c>
      <c r="E59" s="30" t="inlineStr">
        <is>
          <t>m3/m3</t>
        </is>
      </c>
      <c r="F59" s="27" t="inlineStr">
        <is>
          <t>From gradient curves.</t>
        </is>
      </c>
    </row>
    <row r="60">
      <c r="A60" s="28" t="inlineStr">
        <is>
          <t>Formation GLR</t>
        </is>
      </c>
      <c r="B60" s="31" t="n">
        <v>120</v>
      </c>
      <c r="C60" s="30" t="inlineStr">
        <is>
          <t>scf/bbl</t>
        </is>
      </c>
      <c r="D60" s="32">
        <f>IFERROR($B$60*0.1781076,NA())</f>
        <v/>
      </c>
      <c r="E60" s="30" t="inlineStr">
        <is>
          <t>m3/m3</t>
        </is>
      </c>
      <c r="F60" s="27" t="inlineStr">
        <is>
          <t>Gas the reservoir already produces per barrel.</t>
        </is>
      </c>
    </row>
    <row r="61">
      <c r="A61" s="28" t="inlineStr">
        <is>
          <t>Injection GLR required</t>
        </is>
      </c>
      <c r="B61" s="59">
        <f>$B$59-$B$60</f>
        <v/>
      </c>
      <c r="C61" s="30" t="inlineStr">
        <is>
          <t>scf/bbl</t>
        </is>
      </c>
      <c r="D61" s="32">
        <f>IFERROR($B$61*0.1781076,NA())</f>
        <v/>
      </c>
      <c r="E61" s="30" t="inlineStr">
        <is>
          <t>m3/m3</t>
        </is>
      </c>
    </row>
    <row r="62">
      <c r="A62" s="28" t="inlineStr">
        <is>
          <t>Injection gas rate</t>
        </is>
      </c>
      <c r="B62" s="60">
        <f>$B$61*$B$14/1000</f>
        <v/>
      </c>
      <c r="C62" s="30" t="inlineStr"/>
      <c r="F62" s="27" t="inlineStr">
        <is>
          <t>Mscf/d.</t>
        </is>
      </c>
    </row>
    <row r="63">
      <c r="A63" s="28" t="inlineStr">
        <is>
          <t>Compressor discharge pressure available</t>
        </is>
      </c>
      <c r="B63" s="31" t="n">
        <v>1200</v>
      </c>
      <c r="C63" s="30" t="inlineStr">
        <is>
          <t>psi</t>
        </is>
      </c>
      <c r="D63" s="32">
        <f>IFERROR($B$63*6.894757,NA())</f>
        <v/>
      </c>
      <c r="E63" s="30" t="inlineStr">
        <is>
          <t>kPa</t>
        </is>
      </c>
    </row>
    <row r="64">
      <c r="A64" s="28" t="inlineStr">
        <is>
          <t>Compressor status</t>
        </is>
      </c>
      <c r="B64" s="72">
        <f>IF($B$63&gt;=$B$17+100,"OK - discharge pressure adequate for kick-off",IF($B$63&gt;=$B$17,"MARGINAL - little margin over kick-off pressure","CHECK: INSUFFICIENT compressor discharge vs kick-off pressure"))</f>
        <v/>
      </c>
      <c r="C64" s="30" t="inlineStr"/>
    </row>
    <row r="66" ht="20" customHeight="1">
      <c r="A66" s="23" t="inlineStr">
        <is>
          <t>Valve Dome Pressure Correction</t>
        </is>
      </c>
      <c r="B66" s="24" t="n"/>
      <c r="C66" s="24" t="n"/>
      <c r="D66" s="24" t="n"/>
      <c r="E66" s="24" t="n"/>
      <c r="F66" s="24" t="n"/>
    </row>
    <row r="68">
      <c r="A68" s="25" t="inlineStr">
        <is>
          <t>Nitrogen Dome Pressure &amp; Test Rack Setting</t>
        </is>
      </c>
      <c r="B68" s="26" t="n"/>
      <c r="C68" s="26" t="n"/>
      <c r="D68" s="26" t="n"/>
      <c r="E68" s="26" t="n"/>
      <c r="F68" s="49" t="inlineStr">
        <is>
          <t>Pd@depth = Pcsg@valve - margin;   Ptro = Pd@depth x 520 / T_R@depth</t>
        </is>
      </c>
    </row>
    <row r="69">
      <c r="A69" t="inlineStr"/>
      <c r="F69" s="27" t="inlineStr">
        <is>
          <t>Nitrogen-charged bellows valve: dome pressure set so the valve holds casing pressure less the transfer margin at the operating depth. Temperature correction to the 60 degF test rack is the simplified ideal-gas ratio, with port-to-bellows area ratio R = 0 assumed (unbalanced effects ignored).</t>
        </is>
      </c>
    </row>
    <row r="70">
      <c r="A70" s="28" t="inlineStr">
        <is>
          <t>Valve temperature at operating depth</t>
        </is>
      </c>
      <c r="B70" s="54">
        <f>$B$19+$B$20*$B$52/100</f>
        <v/>
      </c>
      <c r="C70" s="30" t="inlineStr"/>
      <c r="D70" s="40">
        <f>IFERROR(($B$70-32)/1.8,NA())</f>
        <v/>
      </c>
      <c r="E70" s="30" t="inlineStr">
        <is>
          <t>degC</t>
        </is>
      </c>
      <c r="F70" s="27" t="inlineStr">
        <is>
          <t>degF. T = Tsurf + Tgrad x D/100 at the operating valve.</t>
        </is>
      </c>
    </row>
    <row r="71">
      <c r="A71" s="28" t="inlineStr">
        <is>
          <t>Casing pressure at operating valve</t>
        </is>
      </c>
      <c r="B71" s="59">
        <f>$B$17*EXP(0.01875*$B$18*$B$52/((460+$B$19+$B$20*$B$52/200)*$B$32))</f>
        <v/>
      </c>
      <c r="C71" s="30" t="inlineStr">
        <is>
          <t>psi</t>
        </is>
      </c>
      <c r="D71" s="32">
        <f>IFERROR($B$71*6.894757,NA())</f>
        <v/>
      </c>
      <c r="E71" s="30" t="inlineStr">
        <is>
          <t>kPa</t>
        </is>
      </c>
      <c r="F71" s="27" t="inlineStr">
        <is>
          <t>Gas column at Pko surface pressure (operating surface pressure assumed = Pko; simplification).</t>
        </is>
      </c>
    </row>
    <row r="72">
      <c r="A72" s="28" t="inlineStr">
        <is>
          <t>Dome pressure required at depth</t>
        </is>
      </c>
      <c r="B72" s="59">
        <f>$B$71-$B$24</f>
        <v/>
      </c>
      <c r="C72" s="30" t="inlineStr">
        <is>
          <t>psi</t>
        </is>
      </c>
      <c r="D72" s="32">
        <f>IFERROR($B$72*6.894757,NA())</f>
        <v/>
      </c>
      <c r="E72" s="30" t="inlineStr">
        <is>
          <t>kPa</t>
        </is>
      </c>
    </row>
    <row r="73">
      <c r="A73" s="28" t="inlineStr">
        <is>
          <t>Test rack opening pressure at 60 degF (Ptro)</t>
        </is>
      </c>
      <c r="B73" s="59">
        <f>$B$72*520/(460+$B$70)</f>
        <v/>
      </c>
      <c r="C73" s="30" t="inlineStr">
        <is>
          <t>psi</t>
        </is>
      </c>
      <c r="D73" s="32">
        <f>IFERROR($B$73*6.894757,NA())</f>
        <v/>
      </c>
      <c r="E73" s="30" t="inlineStr">
        <is>
          <t>kPa</t>
        </is>
      </c>
      <c r="F73" s="27" t="inlineStr">
        <is>
          <t>520 degR = 60 degF reference.</t>
        </is>
      </c>
    </row>
  </sheetData>
  <sheetProtection selectLockedCells="0" selectUnlockedCells="0" sheet="1" objects="0" insertRows="1" insertHyperlinks="1" autoFilter="1" scenarios="0" formatColumns="0" deleteColumns="1" insertColumns="1" pivotTables="1" deleteRows="1" formatCells="1" formatRows="0" sort="1"/>
  <mergeCells count="7">
    <mergeCell ref="A2:F2"/>
    <mergeCell ref="A28:F28"/>
    <mergeCell ref="A66:F66"/>
    <mergeCell ref="A1:F1"/>
    <mergeCell ref="A37:F37"/>
    <mergeCell ref="A6:F6"/>
    <mergeCell ref="A55:F55"/>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tabColor rgb="00548235"/>
    <outlinePr summaryBelow="1" summaryRight="1"/>
    <pageSetUpPr/>
  </sheetPr>
  <dimension ref="A1:F80"/>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Sucker Rod Pump Design</t>
        </is>
      </c>
      <c r="B1" s="2" t="n"/>
      <c r="C1" s="2" t="n"/>
      <c r="D1" s="2" t="n"/>
      <c r="E1" s="2" t="n"/>
      <c r="F1" s="2" t="n"/>
    </row>
    <row r="2">
      <c r="A2" s="20" t="inlineStr">
        <is>
          <t>Pump displacement, Mills polished-rod loads, counterbalance and torque, Goodman stress check, effective plunger stroke</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Pump Displacement</t>
        </is>
      </c>
      <c r="B6" s="24" t="n"/>
      <c r="C6" s="24" t="n"/>
      <c r="D6" s="24" t="n"/>
      <c r="E6" s="24" t="n"/>
      <c r="F6" s="24" t="n"/>
    </row>
    <row r="8">
      <c r="A8" s="25" t="inlineStr">
        <is>
          <t>Pump Displacement</t>
        </is>
      </c>
      <c r="B8" s="26" t="n"/>
      <c r="C8" s="26" t="n"/>
      <c r="D8" s="26" t="n"/>
      <c r="E8" s="26" t="n"/>
      <c r="F8" s="49" t="inlineStr">
        <is>
          <t>PD [bpd] = 0.1166 x S [in] x N [spm] x D^2 [in];   K = 0.1166 x D^2</t>
        </is>
      </c>
    </row>
    <row r="9">
      <c r="A9" t="inlineStr"/>
      <c r="F9" s="27" t="inlineStr">
        <is>
          <t>Theoretical displacement at 100% volumetric efficiency; actual rate applies the efficiency (slippage, fillage, gas interference).</t>
        </is>
      </c>
    </row>
    <row r="10">
      <c r="A10" s="28" t="inlineStr">
        <is>
          <t>Plunger diameter (D)</t>
        </is>
      </c>
      <c r="B10" s="33" t="n">
        <v>1.5</v>
      </c>
      <c r="C10" s="30" t="inlineStr">
        <is>
          <t>in</t>
        </is>
      </c>
      <c r="D10" s="34">
        <f>IFERROR($B$10*25.4,NA())</f>
        <v/>
      </c>
      <c r="E10" s="30" t="inlineStr">
        <is>
          <t>mm</t>
        </is>
      </c>
    </row>
    <row r="11">
      <c r="A11" s="28" t="inlineStr">
        <is>
          <t>Stroke length (S)</t>
        </is>
      </c>
      <c r="B11" s="37" t="n">
        <v>86</v>
      </c>
      <c r="C11" s="30" t="inlineStr">
        <is>
          <t>in</t>
        </is>
      </c>
      <c r="D11" s="40">
        <f>IFERROR($B$11*25.4,NA())</f>
        <v/>
      </c>
      <c r="E11" s="30" t="inlineStr">
        <is>
          <t>mm</t>
        </is>
      </c>
    </row>
    <row r="12">
      <c r="A12" s="28" t="inlineStr">
        <is>
          <t>Pumping speed (N)</t>
        </is>
      </c>
      <c r="B12" s="37" t="n">
        <v>8</v>
      </c>
      <c r="C12" s="30" t="inlineStr"/>
      <c r="F12" s="27" t="inlineStr">
        <is>
          <t>Strokes per minute.</t>
        </is>
      </c>
    </row>
    <row r="13">
      <c r="A13" s="28" t="inlineStr">
        <is>
          <t>Volumetric efficiency</t>
        </is>
      </c>
      <c r="B13" s="37" t="n">
        <v>80</v>
      </c>
      <c r="C13" s="30" t="inlineStr"/>
      <c r="F13" s="27" t="inlineStr">
        <is>
          <t>Percent.</t>
        </is>
      </c>
    </row>
    <row r="14">
      <c r="A14" s="28" t="inlineStr">
        <is>
          <t>Pump constant (K)</t>
        </is>
      </c>
      <c r="B14" s="58">
        <f>0.1166*$B$10^2</f>
        <v/>
      </c>
      <c r="C14" s="30" t="inlineStr"/>
      <c r="F14" s="27" t="inlineStr">
        <is>
          <t>bpd per (in of stroke x spm).</t>
        </is>
      </c>
    </row>
    <row r="15">
      <c r="A15" s="28" t="inlineStr">
        <is>
          <t>Pump displacement (100% eff)</t>
        </is>
      </c>
      <c r="B15" s="56">
        <f>0.1166*$B$11*$B$12*$B$10^2</f>
        <v/>
      </c>
      <c r="C15" s="30" t="inlineStr"/>
      <c r="F15" s="27" t="inlineStr">
        <is>
          <t>bpd.</t>
        </is>
      </c>
    </row>
    <row r="16">
      <c r="A16" s="28" t="inlineStr">
        <is>
          <t>Actual rate</t>
        </is>
      </c>
      <c r="B16" s="60">
        <f>$B$15*$B$13/100</f>
        <v/>
      </c>
      <c r="C16" s="30" t="inlineStr"/>
      <c r="F16" s="27" t="inlineStr">
        <is>
          <t>bpd.</t>
        </is>
      </c>
    </row>
    <row r="18" ht="20" customHeight="1">
      <c r="A18" s="23" t="inlineStr">
        <is>
          <t>Rod String &amp; Loads</t>
        </is>
      </c>
      <c r="B18" s="24" t="n"/>
      <c r="C18" s="24" t="n"/>
      <c r="D18" s="24" t="n"/>
      <c r="E18" s="24" t="n"/>
      <c r="F18" s="24" t="n"/>
    </row>
    <row r="20">
      <c r="A20" s="25" t="inlineStr">
        <is>
          <t>Two-Taper Rod String Weight</t>
        </is>
      </c>
      <c r="B20" s="26" t="n"/>
      <c r="C20" s="26" t="n"/>
      <c r="D20" s="26" t="n"/>
      <c r="E20" s="26" t="n"/>
      <c r="F20" s="49" t="inlineStr">
        <is>
          <t>w [lb/ft] = 2.904 x d^2;   Wr = sum(w x L);   Wrf = Wr x (1 - 0.128 x SG)</t>
        </is>
      </c>
    </row>
    <row r="21">
      <c r="A21" t="inlineStr"/>
      <c r="F21" s="27" t="inlineStr">
        <is>
          <t>w = 2.904 x d^2 approximates steel rods with couplings (2.224 lb/ft at 7/8 in, 1.634 lb/ft at 3/4 in). Buoyancy factor 1 - 0.128 x SG.</t>
        </is>
      </c>
    </row>
    <row r="22">
      <c r="A22" s="28" t="inlineStr">
        <is>
          <t>Pump depth (L)</t>
        </is>
      </c>
      <c r="B22" s="31" t="n">
        <v>5400</v>
      </c>
      <c r="C22" s="30" t="inlineStr">
        <is>
          <t>ft</t>
        </is>
      </c>
      <c r="D22" s="32">
        <f>IFERROR($B$22*0.3048,NA())</f>
        <v/>
      </c>
      <c r="E22" s="30" t="inlineStr">
        <is>
          <t>m</t>
        </is>
      </c>
    </row>
    <row r="23">
      <c r="A23" s="28" t="inlineStr">
        <is>
          <t>Fluid specific gravity</t>
        </is>
      </c>
      <c r="B23" s="33" t="n">
        <v>1.02</v>
      </c>
      <c r="C23" s="30" t="inlineStr"/>
    </row>
    <row r="24">
      <c r="A24" s="28" t="inlineStr">
        <is>
          <t>Taper 1 rod diameter (top)</t>
        </is>
      </c>
      <c r="B24" s="33" t="n">
        <v>0.875</v>
      </c>
      <c r="C24" s="30" t="inlineStr">
        <is>
          <t>in</t>
        </is>
      </c>
      <c r="D24" s="34">
        <f>IFERROR($B$24*25.4,NA())</f>
        <v/>
      </c>
      <c r="E24" s="30" t="inlineStr">
        <is>
          <t>mm</t>
        </is>
      </c>
    </row>
    <row r="25">
      <c r="A25" s="28" t="inlineStr">
        <is>
          <t>Taper 1 length</t>
        </is>
      </c>
      <c r="B25" s="31" t="n">
        <v>1900</v>
      </c>
      <c r="C25" s="30" t="inlineStr">
        <is>
          <t>ft</t>
        </is>
      </c>
      <c r="D25" s="32">
        <f>IFERROR($B$25*0.3048,NA())</f>
        <v/>
      </c>
      <c r="E25" s="30" t="inlineStr">
        <is>
          <t>m</t>
        </is>
      </c>
    </row>
    <row r="26">
      <c r="A26" s="28" t="inlineStr">
        <is>
          <t>Taper 2 rod diameter</t>
        </is>
      </c>
      <c r="B26" s="33" t="n">
        <v>0.75</v>
      </c>
      <c r="C26" s="30" t="inlineStr">
        <is>
          <t>in</t>
        </is>
      </c>
      <c r="D26" s="34">
        <f>IFERROR($B$26*25.4,NA())</f>
        <v/>
      </c>
      <c r="E26" s="30" t="inlineStr">
        <is>
          <t>mm</t>
        </is>
      </c>
    </row>
    <row r="27">
      <c r="A27" s="28" t="inlineStr">
        <is>
          <t>Taper 2 length</t>
        </is>
      </c>
      <c r="B27" s="31" t="n">
        <v>3500</v>
      </c>
      <c r="C27" s="30" t="inlineStr">
        <is>
          <t>ft</t>
        </is>
      </c>
      <c r="D27" s="32">
        <f>IFERROR($B$27*0.3048,NA())</f>
        <v/>
      </c>
      <c r="E27" s="30" t="inlineStr">
        <is>
          <t>m</t>
        </is>
      </c>
      <c r="F27" s="27" t="inlineStr">
        <is>
          <t>Taper lengths should total the pump depth.</t>
        </is>
      </c>
    </row>
    <row r="28">
      <c r="A28" s="28" t="inlineStr">
        <is>
          <t>Rod weight in air (Wr)</t>
        </is>
      </c>
      <c r="B28" s="59">
        <f>2.904*$B$24^2*$B$25+2.904*$B$26^2*$B$27</f>
        <v/>
      </c>
      <c r="C28" s="30" t="inlineStr">
        <is>
          <t>lbf</t>
        </is>
      </c>
      <c r="D28" s="32">
        <f>IFERROR($B$28*0.004448222,NA())</f>
        <v/>
      </c>
      <c r="E28" s="30" t="inlineStr">
        <is>
          <t>kN</t>
        </is>
      </c>
    </row>
    <row r="29">
      <c r="A29" s="28" t="inlineStr">
        <is>
          <t>Buoyed rod weight (Wrf)</t>
        </is>
      </c>
      <c r="B29" s="59">
        <f>$B$28*(1-0.128*$B$23)</f>
        <v/>
      </c>
      <c r="C29" s="30" t="inlineStr">
        <is>
          <t>lbf</t>
        </is>
      </c>
      <c r="D29" s="32">
        <f>IFERROR($B$29*0.004448222,NA())</f>
        <v/>
      </c>
      <c r="E29" s="30" t="inlineStr">
        <is>
          <t>kN</t>
        </is>
      </c>
    </row>
    <row r="31">
      <c r="A31" s="25" t="inlineStr">
        <is>
          <t>Fluid Load &amp; Mills Polished Rod Loads</t>
        </is>
      </c>
      <c r="B31" s="26" t="n"/>
      <c r="C31" s="26" t="n"/>
      <c r="D31" s="26" t="n"/>
      <c r="E31" s="26" t="n"/>
      <c r="F31" s="49" t="inlineStr">
        <is>
          <t>Fo = 0.340 x SG x D^2 x H;   alpha = S x N^2 / 70500;   PPRL = Fo + Wrf x (1 + alpha);   MPRL = Wrf x (1 - alpha)</t>
        </is>
      </c>
    </row>
    <row r="32">
      <c r="A32" t="inlineStr"/>
      <c r="F32" s="27" t="inlineStr">
        <is>
          <t>Mills-type approximations - API RP 11L gives more accurate loads for final design. H is the net lift (fluid level depth), not the pump depth.</t>
        </is>
      </c>
    </row>
    <row r="33">
      <c r="A33" s="28" t="inlineStr">
        <is>
          <t>Net lift (H, fluid level depth)</t>
        </is>
      </c>
      <c r="B33" s="31" t="n">
        <v>3400</v>
      </c>
      <c r="C33" s="30" t="inlineStr">
        <is>
          <t>ft</t>
        </is>
      </c>
      <c r="D33" s="32">
        <f>IFERROR($B$33*0.3048,NA())</f>
        <v/>
      </c>
      <c r="E33" s="30" t="inlineStr">
        <is>
          <t>m</t>
        </is>
      </c>
      <c r="F33" s="27" t="inlineStr">
        <is>
          <t>Working fluid level TVD - the head the pump actually lifts against.</t>
        </is>
      </c>
    </row>
    <row r="34">
      <c r="A34" s="28" t="inlineStr">
        <is>
          <t>Fluid load on plunger (Fo)</t>
        </is>
      </c>
      <c r="B34" s="59">
        <f>0.340*$B$23*$B$10^2*$B$33</f>
        <v/>
      </c>
      <c r="C34" s="30" t="inlineStr">
        <is>
          <t>lbf</t>
        </is>
      </c>
      <c r="D34" s="32">
        <f>IFERROR($B$34*0.004448222,NA())</f>
        <v/>
      </c>
      <c r="E34" s="30" t="inlineStr">
        <is>
          <t>kN</t>
        </is>
      </c>
    </row>
    <row r="35">
      <c r="A35" s="28" t="inlineStr">
        <is>
          <t>Mills acceleration factor (alpha)</t>
        </is>
      </c>
      <c r="B35" s="58">
        <f>$B$11*$B$12^2/70500</f>
        <v/>
      </c>
      <c r="C35" s="30" t="inlineStr"/>
    </row>
    <row r="36">
      <c r="A36" s="28" t="inlineStr">
        <is>
          <t>Peak polished rod load (PPRL)</t>
        </is>
      </c>
      <c r="B36" s="59">
        <f>$B$34+$B$29*(1+$B$35)</f>
        <v/>
      </c>
      <c r="C36" s="30" t="inlineStr">
        <is>
          <t>lbf</t>
        </is>
      </c>
      <c r="D36" s="32">
        <f>IFERROR($B$36*0.004448222,NA())</f>
        <v/>
      </c>
      <c r="E36" s="30" t="inlineStr">
        <is>
          <t>kN</t>
        </is>
      </c>
    </row>
    <row r="37">
      <c r="A37" s="28" t="inlineStr">
        <is>
          <t>Minimum polished rod load (MPRL)</t>
        </is>
      </c>
      <c r="B37" s="59">
        <f>$B$29*(1-$B$35)</f>
        <v/>
      </c>
      <c r="C37" s="30" t="inlineStr">
        <is>
          <t>lbf</t>
        </is>
      </c>
      <c r="D37" s="32">
        <f>IFERROR($B$37*0.004448222,NA())</f>
        <v/>
      </c>
      <c r="E37" s="30" t="inlineStr">
        <is>
          <t>kN</t>
        </is>
      </c>
    </row>
    <row r="39" ht="20" customHeight="1">
      <c r="A39" s="23" t="inlineStr">
        <is>
          <t>Counterbalance, Torque &amp; Power</t>
        </is>
      </c>
      <c r="B39" s="24" t="n"/>
      <c r="C39" s="24" t="n"/>
      <c r="D39" s="24" t="n"/>
      <c r="E39" s="24" t="n"/>
      <c r="F39" s="24" t="n"/>
    </row>
    <row r="41">
      <c r="A41" s="25" t="inlineStr">
        <is>
          <t>Counterbalance &amp; Peak Torque</t>
        </is>
      </c>
      <c r="B41" s="26" t="n"/>
      <c r="C41" s="26" t="n"/>
      <c r="D41" s="26" t="n"/>
      <c r="E41" s="26" t="n"/>
      <c r="F41" s="49" t="inlineStr">
        <is>
          <t>CBE = Wrf + Fo/2;   PT = (PPRL - CBE) x S/2</t>
        </is>
      </c>
    </row>
    <row r="42">
      <c r="A42" t="inlineStr"/>
      <c r="F42" s="27" t="inlineStr">
        <is>
          <t>Ideal counterbalance carries the buoyed rods plus half the fluid load. Peak torque is a simplified crank-torque approximation (no torque factors / unit geometry) - use the API torque analysis for gearbox rating.</t>
        </is>
      </c>
    </row>
    <row r="43">
      <c r="A43" s="28" t="inlineStr">
        <is>
          <t>Ideal counterbalance effect (CBE)</t>
        </is>
      </c>
      <c r="B43" s="59">
        <f>$B$29+$B$34/2</f>
        <v/>
      </c>
      <c r="C43" s="30" t="inlineStr">
        <is>
          <t>lbf</t>
        </is>
      </c>
      <c r="D43" s="32">
        <f>IFERROR($B$43*0.004448222,NA())</f>
        <v/>
      </c>
      <c r="E43" s="30" t="inlineStr">
        <is>
          <t>kN</t>
        </is>
      </c>
    </row>
    <row r="44">
      <c r="A44" s="28" t="inlineStr">
        <is>
          <t>Peak torque (approx)</t>
        </is>
      </c>
      <c r="B44" s="59">
        <f>($B$36-$B$43)*$B$11/2</f>
        <v/>
      </c>
      <c r="C44" s="30" t="inlineStr"/>
      <c r="F44" s="27" t="inlineStr">
        <is>
          <t>in-lb, simplified.</t>
        </is>
      </c>
    </row>
    <row r="46">
      <c r="A46" s="25" t="inlineStr">
        <is>
          <t>Power &amp; Motor Sizing</t>
        </is>
      </c>
      <c r="B46" s="26" t="n"/>
      <c r="C46" s="26" t="n"/>
      <c r="D46" s="26" t="n"/>
      <c r="E46" s="26" t="n"/>
      <c r="F46" s="49" t="inlineStr">
        <is>
          <t>HHP = 7.36e-6 x Q x SG x H;   FHP = 6.31e-7 x Wr x S x N;   PRHP = HHP + FHP;   motor HP = ROUNDUP(PRHP x CLF x SF)</t>
        </is>
      </c>
    </row>
    <row r="47">
      <c r="A47" t="inlineStr"/>
      <c r="F47" s="27" t="inlineStr">
        <is>
          <t>Q is the actual rate. Cyclic load factor covers the fluctuating beam-pump load on the motor (NEMA D).</t>
        </is>
      </c>
    </row>
    <row r="48">
      <c r="A48" s="28" t="inlineStr">
        <is>
          <t>Cyclic load factor</t>
        </is>
      </c>
      <c r="B48" s="41" t="n">
        <v>1.35</v>
      </c>
      <c r="C48" s="30" t="inlineStr"/>
    </row>
    <row r="49">
      <c r="A49" s="28" t="inlineStr">
        <is>
          <t>Motor safety factor</t>
        </is>
      </c>
      <c r="B49" s="41" t="n">
        <v>1.15</v>
      </c>
      <c r="C49" s="30" t="inlineStr"/>
    </row>
    <row r="50">
      <c r="A50" s="28" t="inlineStr">
        <is>
          <t>Hydraulic horsepower</t>
        </is>
      </c>
      <c r="B50" s="51">
        <f>0.00000736*$B$16*$B$23*$B$33</f>
        <v/>
      </c>
      <c r="C50" s="30" t="inlineStr">
        <is>
          <t>hp</t>
        </is>
      </c>
      <c r="D50" s="42">
        <f>IFERROR($B$50*0.7456999,NA())</f>
        <v/>
      </c>
      <c r="E50" s="30" t="inlineStr">
        <is>
          <t>kW</t>
        </is>
      </c>
    </row>
    <row r="51">
      <c r="A51" s="28" t="inlineStr">
        <is>
          <t>Friction horsepower</t>
        </is>
      </c>
      <c r="B51" s="51">
        <f>0.000000631*$B$28*$B$11*$B$12</f>
        <v/>
      </c>
      <c r="C51" s="30" t="inlineStr">
        <is>
          <t>hp</t>
        </is>
      </c>
      <c r="D51" s="42">
        <f>IFERROR($B$51*0.7456999,NA())</f>
        <v/>
      </c>
      <c r="E51" s="30" t="inlineStr">
        <is>
          <t>kW</t>
        </is>
      </c>
    </row>
    <row r="52">
      <c r="A52" s="28" t="inlineStr">
        <is>
          <t>Polished rod horsepower</t>
        </is>
      </c>
      <c r="B52" s="51">
        <f>$B$50+$B$51</f>
        <v/>
      </c>
      <c r="C52" s="30" t="inlineStr">
        <is>
          <t>hp</t>
        </is>
      </c>
      <c r="D52" s="42">
        <f>IFERROR($B$52*0.7456999,NA())</f>
        <v/>
      </c>
      <c r="E52" s="30" t="inlineStr">
        <is>
          <t>kW</t>
        </is>
      </c>
    </row>
    <row r="53">
      <c r="A53" s="28" t="inlineStr">
        <is>
          <t>Motor HP required</t>
        </is>
      </c>
      <c r="B53" s="59">
        <f>ROUNDUP(ROUND($B$52*$B$48*$B$49,6),0)</f>
        <v/>
      </c>
      <c r="C53" s="30" t="inlineStr">
        <is>
          <t>hp</t>
        </is>
      </c>
      <c r="D53" s="32">
        <f>IFERROR($B$53*0.7456999,NA())</f>
        <v/>
      </c>
      <c r="E53" s="30" t="inlineStr">
        <is>
          <t>kW</t>
        </is>
      </c>
    </row>
    <row r="55" ht="20" customHeight="1">
      <c r="A55" s="23" t="inlineStr">
        <is>
          <t>Rod Stress &amp; Goodman Check</t>
        </is>
      </c>
      <c r="B55" s="24" t="n"/>
      <c r="C55" s="24" t="n"/>
      <c r="D55" s="24" t="n"/>
      <c r="E55" s="24" t="n"/>
      <c r="F55" s="24" t="n"/>
    </row>
    <row r="57">
      <c r="A57" s="25" t="inlineStr">
        <is>
          <t>Modified Goodman Diagram Check</t>
        </is>
      </c>
      <c r="B57" s="26" t="n"/>
      <c r="C57" s="26" t="n"/>
      <c r="D57" s="26" t="n"/>
      <c r="E57" s="26" t="n"/>
      <c r="F57" s="49" t="inlineStr">
        <is>
          <t>Smax = PPRL/A;   Smin = MPRL/A;   Sallow = (T/4 + 0.5625 x Smin) x SF</t>
        </is>
      </c>
    </row>
    <row r="58">
      <c r="A58" t="inlineStr"/>
      <c r="F58" s="27" t="inlineStr">
        <is>
          <t>Top rod carries the highest load - stresses on the top taper area. Service factor 1.0 non-corrosive; lower for corrosive service (e.g. 0.9 salt water, 0.65 H2S).</t>
        </is>
      </c>
    </row>
    <row r="59">
      <c r="A59" s="28" t="inlineStr">
        <is>
          <t>Rod tensile strength (T)</t>
        </is>
      </c>
      <c r="B59" s="31" t="n">
        <v>115000</v>
      </c>
      <c r="C59" s="30" t="inlineStr">
        <is>
          <t>psi</t>
        </is>
      </c>
      <c r="D59" s="32">
        <f>IFERROR($B$59*6.894757,NA())</f>
        <v/>
      </c>
      <c r="E59" s="30" t="inlineStr">
        <is>
          <t>kPa</t>
        </is>
      </c>
      <c r="F59" s="27" t="inlineStr">
        <is>
          <t>Grade D minimum tensile.</t>
        </is>
      </c>
    </row>
    <row r="60">
      <c r="A60" s="28" t="inlineStr">
        <is>
          <t>Service factor</t>
        </is>
      </c>
      <c r="B60" s="41" t="n">
        <v>0.9</v>
      </c>
      <c r="C60" s="30" t="inlineStr"/>
    </row>
    <row r="61">
      <c r="A61" s="28" t="inlineStr">
        <is>
          <t>Top rod area (A)</t>
        </is>
      </c>
      <c r="B61" s="50">
        <f>PI()/4*$B$24^2</f>
        <v/>
      </c>
      <c r="C61" s="30" t="inlineStr">
        <is>
          <t>in2</t>
        </is>
      </c>
      <c r="D61" s="34">
        <f>IFERROR($B$61*6.4516,NA())</f>
        <v/>
      </c>
      <c r="E61" s="30" t="inlineStr">
        <is>
          <t>cm2</t>
        </is>
      </c>
    </row>
    <row r="62">
      <c r="A62" s="28" t="inlineStr">
        <is>
          <t>Maximum rod stress</t>
        </is>
      </c>
      <c r="B62" s="59">
        <f>$B$36/$B$61</f>
        <v/>
      </c>
      <c r="C62" s="30" t="inlineStr">
        <is>
          <t>psi</t>
        </is>
      </c>
      <c r="D62" s="32">
        <f>IFERROR($B$62*6.894757,NA())</f>
        <v/>
      </c>
      <c r="E62" s="30" t="inlineStr">
        <is>
          <t>kPa</t>
        </is>
      </c>
    </row>
    <row r="63">
      <c r="A63" s="28" t="inlineStr">
        <is>
          <t>Minimum rod stress</t>
        </is>
      </c>
      <c r="B63" s="59">
        <f>$B$37/$B$61</f>
        <v/>
      </c>
      <c r="C63" s="30" t="inlineStr">
        <is>
          <t>psi</t>
        </is>
      </c>
      <c r="D63" s="32">
        <f>IFERROR($B$63*6.894757,NA())</f>
        <v/>
      </c>
      <c r="E63" s="30" t="inlineStr">
        <is>
          <t>kPa</t>
        </is>
      </c>
    </row>
    <row r="64">
      <c r="A64" s="28" t="inlineStr">
        <is>
          <t>Modified Goodman allowable stress</t>
        </is>
      </c>
      <c r="B64" s="59">
        <f>($B$59/4+0.5625*$B$63)*$B$60</f>
        <v/>
      </c>
      <c r="C64" s="30" t="inlineStr">
        <is>
          <t>psi</t>
        </is>
      </c>
      <c r="D64" s="32">
        <f>IFERROR($B$64*6.894757,NA())</f>
        <v/>
      </c>
      <c r="E64" s="30" t="inlineStr">
        <is>
          <t>kPa</t>
        </is>
      </c>
    </row>
    <row r="65">
      <c r="A65" s="28" t="inlineStr">
        <is>
          <t>Goodman status</t>
        </is>
      </c>
      <c r="B65" s="72">
        <f>IF($B$62&lt;=$B$64,"OK - within Goodman diagram",IF($B$62&lt;=$B$64*1.05,"MARGINAL - at Goodman limit","CHECK: EXCEEDS Goodman allowable - heavier taper or slower speed"))</f>
        <v/>
      </c>
      <c r="C65" s="30" t="inlineStr"/>
    </row>
    <row r="67" ht="20" customHeight="1">
      <c r="A67" s="23" t="inlineStr">
        <is>
          <t>Plunger Stroke &amp; Stretch</t>
        </is>
      </c>
      <c r="B67" s="24" t="n"/>
      <c r="C67" s="24" t="n"/>
      <c r="D67" s="24" t="n"/>
      <c r="E67" s="24" t="n"/>
      <c r="F67" s="24" t="n"/>
    </row>
    <row r="69">
      <c r="A69" s="25" t="inlineStr">
        <is>
          <t>Rod / Tubing Stretch &amp; Effective Plunger Stroke</t>
        </is>
      </c>
      <c r="B69" s="26" t="n"/>
      <c r="C69" s="26" t="n"/>
      <c r="D69" s="26" t="n"/>
      <c r="E69" s="26" t="n"/>
      <c r="F69" s="49" t="inlineStr">
        <is>
          <t>er = 12 x Fo x (L1/A1 + L2/A2) / E;   et = IF(anchored, 0, 12 x Fo x L / (At x E));   eo = S x alpha;   Sp = S - er - et + eo</t>
        </is>
      </c>
    </row>
    <row r="70">
      <c r="A70" t="inlineStr"/>
      <c r="F70" s="27" t="inlineStr">
        <is>
          <t>E = 30.5e6 psi (steel). Rod stretch is summed per taper; tubing stretch is zero when the tubing is anchored. Plunger overtravel eo = S x alpha is the documented simple approximation.</t>
        </is>
      </c>
    </row>
    <row r="71">
      <c r="A71" s="28" t="inlineStr">
        <is>
          <t>Tubing anchored? (1 = yes, 0 = no)</t>
        </is>
      </c>
      <c r="B71" s="117" t="n">
        <v>1</v>
      </c>
      <c r="C71" s="30" t="inlineStr"/>
      <c r="F71" s="27" t="inlineStr">
        <is>
          <t>Anchored (tension-set) tubing does not breathe with the fluid load - tubing stretch term becomes zero.</t>
        </is>
      </c>
    </row>
    <row r="72">
      <c r="A72" s="28" t="inlineStr">
        <is>
          <t>Tubing OD</t>
        </is>
      </c>
      <c r="B72" s="84">
        <f>WD_TbgOD</f>
        <v/>
      </c>
      <c r="C72" s="30" t="inlineStr">
        <is>
          <t>in</t>
        </is>
      </c>
      <c r="D72" s="34">
        <f>IFERROR($B$72*25.4,NA())</f>
        <v/>
      </c>
      <c r="E72" s="30" t="inlineStr">
        <is>
          <t>mm</t>
        </is>
      </c>
      <c r="F72" s="27" t="inlineStr">
        <is>
          <t>Linked to Well Data sheet - overwrite locally if this well differs.</t>
        </is>
      </c>
    </row>
    <row r="73">
      <c r="A73" s="28" t="inlineStr">
        <is>
          <t>Tubing ID</t>
        </is>
      </c>
      <c r="B73" s="84">
        <f>WD_TbgID</f>
        <v/>
      </c>
      <c r="C73" s="30" t="inlineStr">
        <is>
          <t>in</t>
        </is>
      </c>
      <c r="D73" s="34">
        <f>IFERROR($B$73*25.4,NA())</f>
        <v/>
      </c>
      <c r="E73" s="30" t="inlineStr">
        <is>
          <t>mm</t>
        </is>
      </c>
      <c r="F73" s="27" t="inlineStr">
        <is>
          <t>Linked to Well Data sheet - overwrite locally if this well differs.</t>
        </is>
      </c>
    </row>
    <row r="74">
      <c r="A74" s="28" t="inlineStr">
        <is>
          <t>Tubing wall area (At)</t>
        </is>
      </c>
      <c r="B74" s="50">
        <f>PI()/4*($B$72^2-$B$73^2)</f>
        <v/>
      </c>
      <c r="C74" s="30" t="inlineStr">
        <is>
          <t>in2</t>
        </is>
      </c>
      <c r="D74" s="34">
        <f>IFERROR($B$74*6.4516,NA())</f>
        <v/>
      </c>
      <c r="E74" s="30" t="inlineStr">
        <is>
          <t>cm2</t>
        </is>
      </c>
    </row>
    <row r="75">
      <c r="A75" s="28" t="inlineStr">
        <is>
          <t>Taper 2 rod area (A2)</t>
        </is>
      </c>
      <c r="B75" s="50">
        <f>PI()/4*$B$26^2</f>
        <v/>
      </c>
      <c r="C75" s="30" t="inlineStr">
        <is>
          <t>in2</t>
        </is>
      </c>
      <c r="D75" s="34">
        <f>IFERROR($B$75*6.4516,NA())</f>
        <v/>
      </c>
      <c r="E75" s="30" t="inlineStr">
        <is>
          <t>cm2</t>
        </is>
      </c>
    </row>
    <row r="76">
      <c r="A76" s="28" t="inlineStr">
        <is>
          <t>Rod stretch (er)</t>
        </is>
      </c>
      <c r="B76" s="51">
        <f>12*$B$34*($B$25/$B$61+$B$27/$B$75)/30500000</f>
        <v/>
      </c>
      <c r="C76" s="30" t="inlineStr">
        <is>
          <t>in</t>
        </is>
      </c>
      <c r="D76" s="42">
        <f>IFERROR($B$76*25.4,NA())</f>
        <v/>
      </c>
      <c r="E76" s="30" t="inlineStr">
        <is>
          <t>mm</t>
        </is>
      </c>
    </row>
    <row r="77">
      <c r="A77" s="28" t="inlineStr">
        <is>
          <t>Tubing stretch (et)</t>
        </is>
      </c>
      <c r="B77" s="51">
        <f>IF($B$71=1,0,12*$B$34*$B$22/($B$74*30500000))</f>
        <v/>
      </c>
      <c r="C77" s="30" t="inlineStr">
        <is>
          <t>in</t>
        </is>
      </c>
      <c r="D77" s="42">
        <f>IFERROR($B$77*25.4,NA())</f>
        <v/>
      </c>
      <c r="E77" s="30" t="inlineStr">
        <is>
          <t>mm</t>
        </is>
      </c>
    </row>
    <row r="78">
      <c r="A78" s="28" t="inlineStr">
        <is>
          <t>Plunger overtravel (eo)</t>
        </is>
      </c>
      <c r="B78" s="51">
        <f>$B$11*$B$35</f>
        <v/>
      </c>
      <c r="C78" s="30" t="inlineStr">
        <is>
          <t>in</t>
        </is>
      </c>
      <c r="D78" s="42">
        <f>IFERROR($B$78*25.4,NA())</f>
        <v/>
      </c>
      <c r="E78" s="30" t="inlineStr">
        <is>
          <t>mm</t>
        </is>
      </c>
      <c r="F78" s="27" t="inlineStr">
        <is>
          <t>eo = S x alpha (simple dynamic overtravel approximation).</t>
        </is>
      </c>
    </row>
    <row r="79">
      <c r="A79" s="28" t="inlineStr">
        <is>
          <t>Effective plunger stroke (Sp)</t>
        </is>
      </c>
      <c r="B79" s="51">
        <f>$B$11-$B$76-$B$77+$B$78</f>
        <v/>
      </c>
      <c r="C79" s="30" t="inlineStr">
        <is>
          <t>in</t>
        </is>
      </c>
      <c r="D79" s="42">
        <f>IFERROR($B$79*25.4,NA())</f>
        <v/>
      </c>
      <c r="E79" s="30" t="inlineStr">
        <is>
          <t>mm</t>
        </is>
      </c>
    </row>
    <row r="80">
      <c r="A80" s="28" t="inlineStr">
        <is>
          <t>Displacement with effective stroke</t>
        </is>
      </c>
      <c r="B80" s="60">
        <f>0.1166*$B$79*$B$12*$B$10^2*$B$13/100</f>
        <v/>
      </c>
      <c r="C80" s="30" t="inlineStr"/>
      <c r="F80" s="27" t="inlineStr">
        <is>
          <t>bpd - compare with the actual rate above (stretch-corrected).</t>
        </is>
      </c>
    </row>
  </sheetData>
  <sheetProtection selectLockedCells="0" selectUnlockedCells="0" sheet="1" objects="0" insertRows="1" insertHyperlinks="1" autoFilter="1" scenarios="0" formatColumns="0" deleteColumns="1" insertColumns="1" pivotTables="1" deleteRows="1" formatCells="1" formatRows="0" sort="1"/>
  <mergeCells count="7">
    <mergeCell ref="A2:F2"/>
    <mergeCell ref="A1:F1"/>
    <mergeCell ref="A67:F67"/>
    <mergeCell ref="A6:F6"/>
    <mergeCell ref="A18:F18"/>
    <mergeCell ref="A39:F39"/>
    <mergeCell ref="A55:F55"/>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34.xml><?xml version="1.0" encoding="utf-8"?>
<worksheet xmlns="http://schemas.openxmlformats.org/spreadsheetml/2006/main">
  <sheetPr>
    <tabColor rgb="00548235"/>
    <outlinePr summaryBelow="1" summaryRight="1"/>
    <pageSetUpPr/>
  </sheetPr>
  <dimension ref="A1:F114"/>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Completion Design - Sand Control &amp; Sizing</t>
        </is>
      </c>
      <c r="B1" s="2" t="n"/>
      <c r="C1" s="2" t="n"/>
      <c r="D1" s="2" t="n"/>
      <c r="E1" s="2" t="n"/>
      <c r="F1" s="2" t="n"/>
    </row>
    <row r="2">
      <c r="A2" s="20" t="inlineStr">
        <is>
          <t>Sieve analysis, gravel &amp; screen sizing (Saucier), gravel pack volumes, proppant selection, erosional velocity, Turner liquid loading</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Formation Sieve Analysis &amp; Method Selection</t>
        </is>
      </c>
      <c r="B6" s="24" t="n"/>
      <c r="C6" s="24" t="n"/>
      <c r="D6" s="24" t="n"/>
      <c r="E6" s="24" t="n"/>
      <c r="F6" s="24" t="n"/>
    </row>
    <row r="8">
      <c r="A8" s="25" t="inlineStr">
        <is>
          <t>Sieve Analysis (from LPSA / dry sieve)</t>
        </is>
      </c>
      <c r="B8" s="26" t="n"/>
      <c r="C8" s="26" t="n"/>
      <c r="D8" s="26" t="n"/>
      <c r="E8" s="26" t="n"/>
      <c r="F8" s="49" t="inlineStr">
        <is>
          <t>UC = d40 / d90 (uniformity coefficient)</t>
        </is>
      </c>
    </row>
    <row r="9">
      <c r="A9" t="inlineStr"/>
      <c r="F9" s="27" t="inlineStr">
        <is>
          <t>Enter grain sizes from laser particle size analysis (LPSA) or dry sieve of formation samples. dXX = sieve size that XX wt% of the sample is coarser than.</t>
        </is>
      </c>
    </row>
    <row r="10">
      <c r="A10" s="28" t="inlineStr">
        <is>
          <t>d10 grain size</t>
        </is>
      </c>
      <c r="B10" s="31" t="n">
        <v>350</v>
      </c>
      <c r="C10" s="30" t="inlineStr">
        <is>
          <t>micron</t>
        </is>
      </c>
    </row>
    <row r="11">
      <c r="A11" s="28" t="inlineStr">
        <is>
          <t>d40 grain size</t>
        </is>
      </c>
      <c r="B11" s="31" t="n">
        <v>180</v>
      </c>
      <c r="C11" s="30" t="inlineStr">
        <is>
          <t>micron</t>
        </is>
      </c>
    </row>
    <row r="12">
      <c r="A12" s="28" t="inlineStr">
        <is>
          <t>d50 grain size (median)</t>
        </is>
      </c>
      <c r="B12" s="31" t="n">
        <v>150</v>
      </c>
      <c r="C12" s="30" t="inlineStr">
        <is>
          <t>micron</t>
        </is>
      </c>
    </row>
    <row r="13">
      <c r="A13" s="28" t="inlineStr">
        <is>
          <t>d90 grain size</t>
        </is>
      </c>
      <c r="B13" s="31" t="n">
        <v>44</v>
      </c>
      <c r="C13" s="30" t="inlineStr">
        <is>
          <t>micron</t>
        </is>
      </c>
    </row>
    <row r="14">
      <c r="A14" s="28" t="inlineStr">
        <is>
          <t>Fines content (&lt; 44 micron)</t>
        </is>
      </c>
      <c r="B14" s="37" t="n">
        <v>4</v>
      </c>
      <c r="C14" s="30" t="inlineStr">
        <is>
          <t>%</t>
        </is>
      </c>
      <c r="F14" s="27" t="inlineStr">
        <is>
          <t>Sub-325-mesh fraction; high fines plug gravel packs and screens.</t>
        </is>
      </c>
    </row>
    <row r="15">
      <c r="A15" s="28" t="inlineStr">
        <is>
          <t>Uniformity coefficient (UC)</t>
        </is>
      </c>
      <c r="B15" s="51">
        <f>$B$11/$B$13</f>
        <v/>
      </c>
      <c r="C15" s="30" t="inlineStr"/>
    </row>
    <row r="16">
      <c r="A16" s="28" t="inlineStr">
        <is>
          <t>Sorting classification</t>
        </is>
      </c>
      <c r="B16" s="72">
        <f>IF($B$15&lt;3,"Uniform sand",IF($B$15&lt;5,"Non-uniform","Highly non-uniform"))</f>
        <v/>
      </c>
      <c r="C16" s="30" t="inlineStr"/>
    </row>
    <row r="18">
      <c r="A18" s="25" t="inlineStr">
        <is>
          <t>Sand Control Method Selection (Tiffin-style rules of thumb)</t>
        </is>
      </c>
      <c r="B18" s="26" t="n"/>
      <c r="C18" s="26" t="n"/>
      <c r="D18" s="26" t="n"/>
      <c r="E18" s="26" t="n"/>
      <c r="F18" s="26" t="n"/>
    </row>
    <row r="19">
      <c r="A19" t="inlineStr"/>
      <c r="F19" s="27" t="inlineStr">
        <is>
          <t>Screening guidance only - NOT a substitute for laboratory sand retention / slurry testing on actual formation samples.</t>
        </is>
      </c>
    </row>
    <row r="20">
      <c r="A20" s="28" t="inlineStr">
        <is>
          <t>Recommended method</t>
        </is>
      </c>
      <c r="B20" s="72">
        <f>IF(AND($B$15&lt;3,$B$14&lt;2),"Standalone screen (SAS) candidate",IF(AND($B$15&lt;5,$B$14&lt;5),"Gravel pack or high-rate water pack",IF($B$15&lt;10,"Gravel pack with enlarged borehole / frac pack","Frac pack or oriented perf + screenless - lab testing required")))</f>
        <v/>
      </c>
      <c r="C20" s="30" t="inlineStr"/>
    </row>
    <row r="22" ht="20" customHeight="1">
      <c r="A22" s="23" t="inlineStr">
        <is>
          <t>Gravel Sizing (Saucier)</t>
        </is>
      </c>
      <c r="B22" s="24" t="n"/>
      <c r="C22" s="24" t="n"/>
      <c r="D22" s="24" t="n"/>
      <c r="E22" s="24" t="n"/>
      <c r="F22" s="24" t="n"/>
    </row>
    <row r="24">
      <c r="A24" s="25" t="inlineStr">
        <is>
          <t>Saucier Gravel Sizing</t>
        </is>
      </c>
      <c r="B24" s="26" t="n"/>
      <c r="C24" s="26" t="n"/>
      <c r="D24" s="26" t="n"/>
      <c r="E24" s="26" t="n"/>
      <c r="F24" s="49" t="inlineStr">
        <is>
          <t>Dg50 = 5 to 6 x d50 (Saucier); gravel range = Dg50 / 2 to Dg50 x 1.5 checked vs commercial mesh</t>
        </is>
      </c>
    </row>
    <row r="25">
      <c r="A25" t="inlineStr"/>
      <c r="F25" s="27" t="inlineStr">
        <is>
          <t>Commercial US mesh ranges [micron]: 40/60: 250-425; 30/50: 300-600; 20/40: 425-850; 16/30: 600-1180; 12/20: 850-1700; 8/12: 1700-2360. Pick the smallest commercial size whose range contains Dg50.</t>
        </is>
      </c>
    </row>
    <row r="26">
      <c r="A26" s="28" t="inlineStr">
        <is>
          <t>Saucier multiplier</t>
        </is>
      </c>
      <c r="B26" s="37" t="n">
        <v>6</v>
      </c>
      <c r="C26" s="30" t="inlineStr"/>
      <c r="F26" s="27" t="inlineStr">
        <is>
          <t>5-6 x d50 typical; 6 for retention with reasonable permeability.</t>
        </is>
      </c>
    </row>
    <row r="27">
      <c r="A27" s="28" t="inlineStr">
        <is>
          <t>Gravel median size (Saucier)</t>
        </is>
      </c>
      <c r="B27" s="59">
        <f>$B$26*$B$12</f>
        <v/>
      </c>
      <c r="C27" s="30" t="inlineStr">
        <is>
          <t>micron</t>
        </is>
      </c>
    </row>
    <row r="28">
      <c r="A28" s="28" t="inlineStr">
        <is>
          <t>Gravel median size</t>
        </is>
      </c>
      <c r="B28" s="58">
        <f>$B$27/25400</f>
        <v/>
      </c>
      <c r="C28" s="30" t="inlineStr">
        <is>
          <t>in</t>
        </is>
      </c>
      <c r="D28" s="39">
        <f>IFERROR($B$28*25.4,NA())</f>
        <v/>
      </c>
      <c r="E28" s="30" t="inlineStr">
        <is>
          <t>mm</t>
        </is>
      </c>
    </row>
    <row r="29">
      <c r="A29" s="28" t="inlineStr">
        <is>
          <t>Commercial gravel selection</t>
        </is>
      </c>
      <c r="B29" s="72">
        <f>IF($B$27&lt;=425,"40/60",IF($B$27&lt;=600,"30/50",IF($B$27&lt;=850,"20/40",IF($B$27&lt;=1180,"16/30",IF($B$27&lt;=1700,"12/20","8/12")))))</f>
        <v/>
      </c>
      <c r="C29" s="30" t="inlineStr"/>
      <c r="F29" s="27" t="inlineStr">
        <is>
          <t>Smallest commercial size whose range contains the Saucier median.</t>
        </is>
      </c>
    </row>
    <row r="30">
      <c r="A30" s="28" t="inlineStr">
        <is>
          <t>Selected gravel smallest grain</t>
        </is>
      </c>
      <c r="B30" s="38" t="n">
        <v>0.0236</v>
      </c>
      <c r="C30" s="30" t="inlineStr">
        <is>
          <t>in</t>
        </is>
      </c>
      <c r="D30" s="39">
        <f>IFERROR($B$30*25.4,NA())</f>
        <v/>
      </c>
      <c r="E30" s="30" t="inlineStr">
        <is>
          <t>mm</t>
        </is>
      </c>
      <c r="F30" s="27" t="inlineStr">
        <is>
          <t>Smallest grain of the selected commercial gravel; 16/30 = 600 micron = 0.0236 in. Update if a different mesh is selected.</t>
        </is>
      </c>
    </row>
    <row r="32" ht="20" customHeight="1">
      <c r="A32" s="23" t="inlineStr">
        <is>
          <t>Screen &amp; Slot Selection</t>
        </is>
      </c>
      <c r="B32" s="24" t="n"/>
      <c r="C32" s="24" t="n"/>
      <c r="D32" s="24" t="n"/>
      <c r="E32" s="24" t="n"/>
      <c r="F32" s="24" t="n"/>
    </row>
    <row r="34">
      <c r="A34" s="25" t="inlineStr">
        <is>
          <t>Gravel-Pack Screen Gauge</t>
        </is>
      </c>
      <c r="B34" s="26" t="n"/>
      <c r="C34" s="26" t="n"/>
      <c r="D34" s="26" t="n"/>
      <c r="E34" s="26" t="n"/>
      <c r="F34" s="49" t="inlineStr">
        <is>
          <t>Screen gauge (slot) &lt;= smallest gravel grain / 2</t>
        </is>
      </c>
    </row>
    <row r="35">
      <c r="A35" t="inlineStr"/>
      <c r="F35" s="27" t="inlineStr">
        <is>
          <t>Standard wire-wrap gauges (thousandths of an inch): 6, 8, 12, 16, 20. Pick the largest standard gauge not exceeding the computed slot.</t>
        </is>
      </c>
    </row>
    <row r="36">
      <c r="A36" s="28" t="inlineStr">
        <is>
          <t>Maximum screen gauge (slot width)</t>
        </is>
      </c>
      <c r="B36" s="58">
        <f>$B$30/2</f>
        <v/>
      </c>
      <c r="C36" s="30" t="inlineStr">
        <is>
          <t>in</t>
        </is>
      </c>
      <c r="D36" s="39">
        <f>IFERROR($B$36*25.4,NA())</f>
        <v/>
      </c>
      <c r="E36" s="30" t="inlineStr">
        <is>
          <t>mm</t>
        </is>
      </c>
    </row>
    <row r="37">
      <c r="A37" s="28" t="inlineStr">
        <is>
          <t>Commercial gauge selection</t>
        </is>
      </c>
      <c r="B37" s="72">
        <f>IF($B$36*1000&gt;=20,"20 gauge",IF($B$36*1000&gt;=16,"16 gauge",IF($B$36*1000&gt;=12,"12 gauge",IF($B$36*1000&gt;=8,"8 gauge","6 gauge"))))</f>
        <v/>
      </c>
      <c r="C37" s="30" t="inlineStr"/>
    </row>
    <row r="39">
      <c r="A39" s="25" t="inlineStr">
        <is>
          <t>Standalone Screen (SAS) Slot / Mesh Rating</t>
        </is>
      </c>
      <c r="B39" s="26" t="n"/>
      <c r="C39" s="26" t="n"/>
      <c r="D39" s="26" t="n"/>
      <c r="E39" s="26" t="n"/>
      <c r="F39" s="49" t="inlineStr">
        <is>
          <t>SAS slot ~ rule multiplier x d10</t>
        </is>
      </c>
    </row>
    <row r="40">
      <c r="A40" t="inlineStr"/>
      <c r="F40" s="27" t="inlineStr">
        <is>
          <t>Wire-wrap: ~2 x d10. Premium (woven mesh) micron rating ~ d10. Confirm with sand retention testing.</t>
        </is>
      </c>
    </row>
    <row r="41">
      <c r="A41" s="28" t="inlineStr">
        <is>
          <t>SAS sizing rule multiplier</t>
        </is>
      </c>
      <c r="B41" s="37" t="n">
        <v>2</v>
      </c>
      <c r="C41" s="30" t="inlineStr"/>
      <c r="F41" s="27" t="inlineStr">
        <is>
          <t>2 x d10 for wire-wrap; use 1.0 for premium mesh rating ~ d10.</t>
        </is>
      </c>
    </row>
    <row r="42">
      <c r="A42" s="28" t="inlineStr">
        <is>
          <t>SAS slot / rating</t>
        </is>
      </c>
      <c r="B42" s="59">
        <f>$B$41*$B$10</f>
        <v/>
      </c>
      <c r="C42" s="30" t="inlineStr">
        <is>
          <t>micron</t>
        </is>
      </c>
    </row>
    <row r="43">
      <c r="A43" s="28" t="inlineStr">
        <is>
          <t>SAS slot / rating</t>
        </is>
      </c>
      <c r="B43" s="58">
        <f>$B$42/25400</f>
        <v/>
      </c>
      <c r="C43" s="30" t="inlineStr">
        <is>
          <t>in</t>
        </is>
      </c>
      <c r="D43" s="39">
        <f>IFERROR($B$43*25.4,NA())</f>
        <v/>
      </c>
      <c r="E43" s="30" t="inlineStr">
        <is>
          <t>mm</t>
        </is>
      </c>
    </row>
    <row r="45">
      <c r="A45" s="25" t="inlineStr">
        <is>
          <t>Radial Clearance Check</t>
        </is>
      </c>
      <c r="B45" s="26" t="n"/>
      <c r="C45" s="26" t="n"/>
      <c r="D45" s="26" t="n"/>
      <c r="E45" s="26" t="n"/>
      <c r="F45" s="49" t="inlineStr">
        <is>
          <t>Clearance = (Casing ID - Screen OD) / 2</t>
        </is>
      </c>
    </row>
    <row r="46">
      <c r="A46" t="inlineStr"/>
      <c r="F46" s="27" t="inlineStr">
        <is>
          <t>Adequate annulus needed for a good gravel pack around the screen.</t>
        </is>
      </c>
    </row>
    <row r="47">
      <c r="A47" s="28" t="inlineStr">
        <is>
          <t>Casing ID</t>
        </is>
      </c>
      <c r="B47" s="84">
        <f>WD_CsgID</f>
        <v/>
      </c>
      <c r="C47" s="30" t="inlineStr">
        <is>
          <t>in</t>
        </is>
      </c>
      <c r="D47" s="34">
        <f>IFERROR($B$47*25.4,NA())</f>
        <v/>
      </c>
      <c r="E47" s="30" t="inlineStr">
        <is>
          <t>mm</t>
        </is>
      </c>
      <c r="F47" s="27" t="inlineStr">
        <is>
          <t>Linked to Well Data sheet - overwrite locally if this well differs.</t>
        </is>
      </c>
    </row>
    <row r="48">
      <c r="A48" s="28" t="inlineStr">
        <is>
          <t>Screen OD (over wire wrap)</t>
        </is>
      </c>
      <c r="B48" s="33" t="n">
        <v>5.5</v>
      </c>
      <c r="C48" s="30" t="inlineStr">
        <is>
          <t>in</t>
        </is>
      </c>
      <c r="D48" s="34">
        <f>IFERROR($B$48*25.4,NA())</f>
        <v/>
      </c>
      <c r="E48" s="30" t="inlineStr">
        <is>
          <t>mm</t>
        </is>
      </c>
    </row>
    <row r="49">
      <c r="A49" s="28" t="inlineStr">
        <is>
          <t>Radial clearance</t>
        </is>
      </c>
      <c r="B49" s="50">
        <f>($B$47-$B$48)/2</f>
        <v/>
      </c>
      <c r="C49" s="30" t="inlineStr">
        <is>
          <t>in</t>
        </is>
      </c>
      <c r="D49" s="34">
        <f>IFERROR($B$49*25.4,NA())</f>
        <v/>
      </c>
      <c r="E49" s="30" t="inlineStr">
        <is>
          <t>mm</t>
        </is>
      </c>
    </row>
    <row r="50">
      <c r="A50" s="28" t="inlineStr">
        <is>
          <t>Clearance status</t>
        </is>
      </c>
      <c r="B50" s="72">
        <f>IF($B$49&gt;=0.75,"OK - adequate gravel annulus",IF($B$49&gt;=0.5,"MARGINAL - tight annulus","CHECK: INSUFFICIENT clearance - smaller screen or bigger casing"))</f>
        <v/>
      </c>
      <c r="C50" s="30" t="inlineStr"/>
    </row>
    <row r="52" ht="20" customHeight="1">
      <c r="A52" s="23" t="inlineStr">
        <is>
          <t>Gravel Pack Volumes</t>
        </is>
      </c>
      <c r="B52" s="24" t="n"/>
      <c r="C52" s="24" t="n"/>
      <c r="D52" s="24" t="n"/>
      <c r="E52" s="24" t="n"/>
      <c r="F52" s="24" t="n"/>
    </row>
    <row r="54">
      <c r="A54" s="25" t="inlineStr">
        <is>
          <t>Screen-Casing Annulus Gravel Volume</t>
        </is>
      </c>
      <c r="B54" s="26" t="n"/>
      <c r="C54" s="26" t="n"/>
      <c r="D54" s="26" t="n"/>
      <c r="E54" s="26" t="n"/>
      <c r="F54" s="49" t="inlineStr">
        <is>
          <t>Cap [bbl/ft] = (CsgID^2 - ScrOD^2) / 1029.4;  Gravel [lbm] = V [bbl] x 5.615 x bulk density [lb/ft3]</t>
        </is>
      </c>
    </row>
    <row r="55">
      <c r="A55" t="inlineStr"/>
      <c r="F55" s="27" t="inlineStr">
        <is>
          <t>Uses BULK packed density (~58 lb/ft3 for sand gravel). The 9.7 lb/gal figure sometimes quoted is the slurry absolute-volume convention - NOT used here.</t>
        </is>
      </c>
    </row>
    <row r="56">
      <c r="A56" s="28" t="inlineStr">
        <is>
          <t>Screen + blank length</t>
        </is>
      </c>
      <c r="B56" s="31" t="n">
        <v>120</v>
      </c>
      <c r="C56" s="30" t="inlineStr">
        <is>
          <t>ft</t>
        </is>
      </c>
      <c r="D56" s="32">
        <f>IFERROR($B$56*0.3048,NA())</f>
        <v/>
      </c>
      <c r="E56" s="30" t="inlineStr">
        <is>
          <t>m</t>
        </is>
      </c>
    </row>
    <row r="57">
      <c r="A57" s="28" t="inlineStr">
        <is>
          <t>Washdown / rathole excess</t>
        </is>
      </c>
      <c r="B57" s="117" t="n">
        <v>25</v>
      </c>
      <c r="C57" s="30" t="inlineStr">
        <is>
          <t>%</t>
        </is>
      </c>
    </row>
    <row r="58">
      <c r="A58" s="28" t="inlineStr">
        <is>
          <t>Gravel bulk (packed) density</t>
        </is>
      </c>
      <c r="B58" s="37" t="n">
        <v>58</v>
      </c>
      <c r="C58" s="30" t="inlineStr">
        <is>
          <t>lb/ft3</t>
        </is>
      </c>
      <c r="D58" s="40">
        <f>IFERROR($B$58*16.01846,NA())</f>
        <v/>
      </c>
      <c r="E58" s="30" t="inlineStr">
        <is>
          <t>kg/m3</t>
        </is>
      </c>
      <c r="F58" s="27" t="inlineStr">
        <is>
          <t>Packed bulk density of gravel in the annulus (~58 lb/ft3).</t>
        </is>
      </c>
    </row>
    <row r="59">
      <c r="A59" s="28" t="inlineStr">
        <is>
          <t>Annulus capacity</t>
        </is>
      </c>
      <c r="B59" s="52">
        <f>($B$47^2-$B$48^2)/1029.4</f>
        <v/>
      </c>
      <c r="C59" s="30" t="inlineStr">
        <is>
          <t>bbl/ft</t>
        </is>
      </c>
      <c r="D59" s="53">
        <f>IFERROR($B$59*0.5216119,NA())</f>
        <v/>
      </c>
      <c r="E59" s="30" t="inlineStr">
        <is>
          <t>m3/m</t>
        </is>
      </c>
      <c r="F59" s="27" t="inlineStr">
        <is>
          <t>Casing ID and screen OD from the Radial Clearance Check above.</t>
        </is>
      </c>
    </row>
    <row r="60">
      <c r="A60" s="28" t="inlineStr">
        <is>
          <t>Gross pack volume (with excess)</t>
        </is>
      </c>
      <c r="B60" s="51">
        <f>$B$59*$B$56*(1+$B$57/100)</f>
        <v/>
      </c>
      <c r="C60" s="30" t="inlineStr">
        <is>
          <t>bbl</t>
        </is>
      </c>
      <c r="D60" s="42">
        <f>IFERROR($B$60*0.1589873,NA())</f>
        <v/>
      </c>
      <c r="E60" s="30" t="inlineStr">
        <is>
          <t>m3</t>
        </is>
      </c>
    </row>
    <row r="61">
      <c r="A61" s="28" t="inlineStr">
        <is>
          <t>Gravel required</t>
        </is>
      </c>
      <c r="B61" s="59">
        <f>$B$60*5.615*$B$58</f>
        <v/>
      </c>
      <c r="C61" s="30" t="inlineStr">
        <is>
          <t>lbm</t>
        </is>
      </c>
      <c r="D61" s="32">
        <f>IFERROR($B$61*0.4535924,NA())</f>
        <v/>
      </c>
      <c r="E61" s="30" t="inlineStr">
        <is>
          <t>kg</t>
        </is>
      </c>
    </row>
    <row r="62">
      <c r="A62" s="28" t="inlineStr">
        <is>
          <t>Gravel required</t>
        </is>
      </c>
      <c r="B62" s="60">
        <f>$B$61/100</f>
        <v/>
      </c>
      <c r="C62" s="30" t="inlineStr"/>
      <c r="F62" s="27" t="inlineStr">
        <is>
          <t>100-lb sacks</t>
        </is>
      </c>
    </row>
    <row r="63">
      <c r="A63" s="27" t="inlineStr">
        <is>
          <t>Reserve</t>
        </is>
      </c>
      <c r="F63" s="27" t="inlineStr">
        <is>
          <t>Carry surface reserve gravel (typically +25-50%) for losses, rathole fill and pressure-out contingency.</t>
        </is>
      </c>
    </row>
    <row r="65" ht="20" customHeight="1">
      <c r="A65" s="23" t="inlineStr">
        <is>
          <t>Proppant Selection (Frac / Frac Pack)</t>
        </is>
      </c>
      <c r="B65" s="24" t="n"/>
      <c r="C65" s="24" t="n"/>
      <c r="D65" s="24" t="n"/>
      <c r="E65" s="24" t="n"/>
      <c r="F65" s="24" t="n"/>
    </row>
    <row r="67">
      <c r="A67" s="25" t="inlineStr">
        <is>
          <t>Closure Stress &amp; Proppant Strength</t>
        </is>
      </c>
      <c r="B67" s="26" t="n"/>
      <c r="C67" s="26" t="n"/>
      <c r="D67" s="26" t="n"/>
      <c r="E67" s="26" t="n"/>
      <c r="F67" s="49" t="inlineStr">
        <is>
          <t>Closure ~ frac gradient x perf TVD;  Max stress on proppant = closure - flowing BHP</t>
        </is>
      </c>
    </row>
    <row r="68">
      <c r="A68" t="inlineStr"/>
      <c r="F68" s="27" t="inlineStr">
        <is>
          <t>Closure ~ frac pressure is a simplification - better closure comes from a DFIT. Maximum effective stress occurs at lowest flowing BHP (end of life).</t>
        </is>
      </c>
    </row>
    <row r="69">
      <c r="A69" s="28" t="inlineStr">
        <is>
          <t>Fracture gradient</t>
        </is>
      </c>
      <c r="B69" s="84">
        <f>WD_FracGrad</f>
        <v/>
      </c>
      <c r="C69" s="30" t="inlineStr">
        <is>
          <t>psi/ft</t>
        </is>
      </c>
      <c r="D69" s="34">
        <f>IFERROR($B$69*22.62059,NA())</f>
        <v/>
      </c>
      <c r="E69" s="30" t="inlineStr">
        <is>
          <t>kPa/m</t>
        </is>
      </c>
      <c r="F69" s="27" t="inlineStr">
        <is>
          <t>Linked to Well Data sheet - overwrite locally if this well differs.</t>
        </is>
      </c>
    </row>
    <row r="70">
      <c r="A70" s="28" t="inlineStr">
        <is>
          <t>Reservoir pressure</t>
        </is>
      </c>
      <c r="B70" s="64">
        <f>WD_ResP</f>
        <v/>
      </c>
      <c r="C70" s="30" t="inlineStr">
        <is>
          <t>psi</t>
        </is>
      </c>
      <c r="D70" s="32">
        <f>IFERROR($B$70*6.894757,NA())</f>
        <v/>
      </c>
      <c r="E70" s="30" t="inlineStr">
        <is>
          <t>kPa</t>
        </is>
      </c>
      <c r="F70" s="27" t="inlineStr">
        <is>
          <t>Linked to Well Data - for reference / depletion adjustment.</t>
        </is>
      </c>
    </row>
    <row r="71">
      <c r="A71" s="28" t="inlineStr">
        <is>
          <t>Perforation TVD</t>
        </is>
      </c>
      <c r="B71" s="64">
        <f>WD_PerfTVD</f>
        <v/>
      </c>
      <c r="C71" s="30" t="inlineStr">
        <is>
          <t>ft</t>
        </is>
      </c>
      <c r="D71" s="32">
        <f>IFERROR($B$71*0.3048,NA())</f>
        <v/>
      </c>
      <c r="E71" s="30" t="inlineStr">
        <is>
          <t>m</t>
        </is>
      </c>
      <c r="F71" s="27" t="inlineStr">
        <is>
          <t>Linked to Well Data sheet - overwrite locally if this well differs.</t>
        </is>
      </c>
    </row>
    <row r="72">
      <c r="A72" s="28" t="inlineStr">
        <is>
          <t>Flowing BHP at end of life</t>
        </is>
      </c>
      <c r="B72" s="31" t="n">
        <v>1800</v>
      </c>
      <c r="C72" s="30" t="inlineStr">
        <is>
          <t>psi</t>
        </is>
      </c>
      <c r="D72" s="32">
        <f>IFERROR($B$72*6.894757,NA())</f>
        <v/>
      </c>
      <c r="E72" s="30" t="inlineStr">
        <is>
          <t>kPa</t>
        </is>
      </c>
    </row>
    <row r="73">
      <c r="A73" s="28" t="inlineStr">
        <is>
          <t>Closure pressure</t>
        </is>
      </c>
      <c r="B73" s="59">
        <f>$B$69*$B$71</f>
        <v/>
      </c>
      <c r="C73" s="30" t="inlineStr">
        <is>
          <t>psi</t>
        </is>
      </c>
      <c r="D73" s="32">
        <f>IFERROR($B$73*6.894757,NA())</f>
        <v/>
      </c>
      <c r="E73" s="30" t="inlineStr">
        <is>
          <t>kPa</t>
        </is>
      </c>
    </row>
    <row r="74">
      <c r="A74" s="28" t="inlineStr">
        <is>
          <t>Max effective closure stress on proppant</t>
        </is>
      </c>
      <c r="B74" s="59">
        <f>$B$73-$B$72</f>
        <v/>
      </c>
      <c r="C74" s="30" t="inlineStr">
        <is>
          <t>psi</t>
        </is>
      </c>
      <c r="D74" s="32">
        <f>IFERROR($B$74*6.894757,NA())</f>
        <v/>
      </c>
      <c r="E74" s="30" t="inlineStr">
        <is>
          <t>kPa</t>
        </is>
      </c>
    </row>
    <row r="75">
      <c r="A75" s="28" t="inlineStr">
        <is>
          <t>Proppant selection</t>
        </is>
      </c>
      <c r="B75" s="72">
        <f>IF($B$74&lt;6000,"White sand (e.g. 20/40 Ottawa)",IF($B$74&lt;8000,"Resin-coated sand",IF($B$74&lt;10000,"Intermediate-strength ceramic","High-strength ceramic / bauxite")))</f>
        <v/>
      </c>
      <c r="C75" s="30" t="inlineStr"/>
    </row>
    <row r="76">
      <c r="A76" s="27" t="inlineStr">
        <is>
          <t>Conductivity</t>
        </is>
      </c>
      <c r="F76" s="27" t="inlineStr">
        <is>
          <t>Check conductivity vs stress from vendor data; scale up mesh size for higher conductivity where stress allows.</t>
        </is>
      </c>
    </row>
    <row r="78" ht="20" customHeight="1">
      <c r="A78" s="23" t="inlineStr">
        <is>
          <t>Tubing Sizing - Erosional Velocity (API RP 14E)</t>
        </is>
      </c>
      <c r="B78" s="24" t="n"/>
      <c r="C78" s="24" t="n"/>
      <c r="D78" s="24" t="n"/>
      <c r="E78" s="24" t="n"/>
      <c r="F78" s="24" t="n"/>
    </row>
    <row r="80">
      <c r="A80" s="25" t="inlineStr">
        <is>
          <t>Erosional Velocity &amp; Maximum Rate</t>
        </is>
      </c>
      <c r="B80" s="26" t="n"/>
      <c r="C80" s="26" t="n"/>
      <c r="D80" s="26" t="n"/>
      <c r="E80" s="26" t="n"/>
      <c r="F80" s="49" t="inlineStr">
        <is>
          <t>Ve = C/sqrt(rho_mix);  Q_max = Ve x A</t>
        </is>
      </c>
    </row>
    <row r="81">
      <c r="A81" s="28" t="inlineStr">
        <is>
          <t>C factor</t>
        </is>
      </c>
      <c r="B81" s="31" t="n">
        <v>100</v>
      </c>
      <c r="C81" s="30" t="inlineStr"/>
      <c r="F81" s="27" t="inlineStr">
        <is>
          <t>100 for continuous non-corrosive service; up to 150-200 with corrosion inhibition (API RP 14E).</t>
        </is>
      </c>
    </row>
    <row r="82">
      <c r="A82" s="28" t="inlineStr">
        <is>
          <t>Mixture density</t>
        </is>
      </c>
      <c r="B82" s="37" t="n">
        <v>60</v>
      </c>
      <c r="C82" s="30" t="inlineStr">
        <is>
          <t>lb/ft3</t>
        </is>
      </c>
      <c r="D82" s="40">
        <f>IFERROR($B$82*16.01846,NA())</f>
        <v/>
      </c>
      <c r="E82" s="30" t="inlineStr">
        <is>
          <t>kg/m3</t>
        </is>
      </c>
    </row>
    <row r="83">
      <c r="A83" s="28" t="inlineStr">
        <is>
          <t>Tubing ID</t>
        </is>
      </c>
      <c r="B83" s="84">
        <f>WD_TbgID</f>
        <v/>
      </c>
      <c r="C83" s="30" t="inlineStr">
        <is>
          <t>in</t>
        </is>
      </c>
      <c r="D83" s="34">
        <f>IFERROR($B$83*25.4,NA())</f>
        <v/>
      </c>
      <c r="E83" s="30" t="inlineStr">
        <is>
          <t>mm</t>
        </is>
      </c>
      <c r="F83" s="27" t="inlineStr">
        <is>
          <t>Linked to Well Data sheet - overwrite locally if this well differs.</t>
        </is>
      </c>
    </row>
    <row r="84">
      <c r="A84" s="28" t="inlineStr">
        <is>
          <t>Erosional velocity</t>
        </is>
      </c>
      <c r="B84" s="51">
        <f>$B$81/SQRT($B$82)</f>
        <v/>
      </c>
      <c r="C84" s="30" t="inlineStr">
        <is>
          <t>ft/s</t>
        </is>
      </c>
      <c r="D84" s="42">
        <f>IFERROR($B$84*0.3048,NA())</f>
        <v/>
      </c>
      <c r="E84" s="30" t="inlineStr">
        <is>
          <t>m/s</t>
        </is>
      </c>
    </row>
    <row r="85">
      <c r="A85" s="28" t="inlineStr">
        <is>
          <t>Tubing flow area</t>
        </is>
      </c>
      <c r="B85" s="58">
        <f>PI()/4*$B$83^2/144</f>
        <v/>
      </c>
      <c r="C85" s="30" t="inlineStr">
        <is>
          <t>ft2</t>
        </is>
      </c>
      <c r="D85" s="39">
        <f>IFERROR($B$85*0.09290304,NA())</f>
        <v/>
      </c>
      <c r="E85" s="30" t="inlineStr">
        <is>
          <t>m2</t>
        </is>
      </c>
    </row>
    <row r="86">
      <c r="A86" s="28" t="inlineStr">
        <is>
          <t>Max liquid rate at Ve</t>
        </is>
      </c>
      <c r="B86" s="59">
        <f>$B$84*$B$85*86400/5.615</f>
        <v/>
      </c>
      <c r="C86" s="30" t="inlineStr"/>
      <c r="F86" s="27" t="inlineStr">
        <is>
          <t>bbl/d</t>
        </is>
      </c>
    </row>
    <row r="87">
      <c r="A87" s="28" t="inlineStr">
        <is>
          <t>Expected liquid rate</t>
        </is>
      </c>
      <c r="B87" s="31" t="n">
        <v>1500</v>
      </c>
      <c r="C87" s="30" t="inlineStr"/>
      <c r="F87" s="27" t="inlineStr">
        <is>
          <t>bbl/d</t>
        </is>
      </c>
    </row>
    <row r="88">
      <c r="A88" s="28" t="inlineStr">
        <is>
          <t>Erosional status</t>
        </is>
      </c>
      <c r="B88" s="72">
        <f>IF($B$87&lt;=$B$86,"OK - below erosional limit","CHECK: EXCEEDS erosional velocity - larger tubing or lower rate")</f>
        <v/>
      </c>
      <c r="C88" s="30" t="inlineStr"/>
    </row>
    <row r="90" ht="20" customHeight="1">
      <c r="A90" s="23" t="inlineStr">
        <is>
          <t>Gas Well Liquid Loading (Turner)</t>
        </is>
      </c>
      <c r="B90" s="24" t="n"/>
      <c r="C90" s="24" t="n"/>
      <c r="D90" s="24" t="n"/>
      <c r="E90" s="24" t="n"/>
      <c r="F90" s="24" t="n"/>
    </row>
    <row r="92">
      <c r="A92" s="25" t="inlineStr">
        <is>
          <t>Turner Critical Velocity &amp; Rate</t>
        </is>
      </c>
      <c r="B92" s="26" t="n"/>
      <c r="C92" s="26" t="n"/>
      <c r="D92" s="26" t="n"/>
      <c r="E92" s="26" t="n"/>
      <c r="F92" s="49" t="inlineStr">
        <is>
          <t>Vt = 20.4 x sigma^0.25 x (rho_l - rho_g)^0.25 / rho_g^0.5   [ft/s, water; 1.2 x Coleman note]</t>
        </is>
      </c>
    </row>
    <row r="93">
      <c r="A93" t="inlineStr"/>
      <c r="F93" s="27" t="inlineStr">
        <is>
          <t>Turner droplet model evaluated at wellhead conditions. Qc form: Qc [MMscf/d] = 3.06 x P [psia] x Vt [ft/s] x A [ft2] / (T [degR] x Z). Turner ~ 1.2 x Coleman (Coleman for low wellhead pressure &lt; ~500 psi).</t>
        </is>
      </c>
    </row>
    <row r="94">
      <c r="A94" s="28" t="inlineStr">
        <is>
          <t>Surface tension (sigma)</t>
        </is>
      </c>
      <c r="B94" s="37" t="n">
        <v>60</v>
      </c>
      <c r="C94" s="30" t="inlineStr">
        <is>
          <t>dyne/cm</t>
        </is>
      </c>
      <c r="F94" s="27" t="inlineStr">
        <is>
          <t>~60 water, ~20 condensate.</t>
        </is>
      </c>
    </row>
    <row r="95">
      <c r="A95" s="28" t="inlineStr">
        <is>
          <t>Liquid density</t>
        </is>
      </c>
      <c r="B95" s="37" t="n">
        <v>67</v>
      </c>
      <c r="C95" s="30" t="inlineStr">
        <is>
          <t>lb/ft3</t>
        </is>
      </c>
      <c r="D95" s="40">
        <f>IFERROR($B$95*16.01846,NA())</f>
        <v/>
      </c>
      <c r="E95" s="30" t="inlineStr">
        <is>
          <t>kg/m3</t>
        </is>
      </c>
    </row>
    <row r="96">
      <c r="A96" s="28" t="inlineStr">
        <is>
          <t>Gas density at wellhead</t>
        </is>
      </c>
      <c r="B96" s="41" t="n">
        <v>2.5</v>
      </c>
      <c r="C96" s="30" t="inlineStr">
        <is>
          <t>lb/ft3</t>
        </is>
      </c>
      <c r="D96" s="42">
        <f>IFERROR($B$96*16.01846,NA())</f>
        <v/>
      </c>
      <c r="E96" s="30" t="inlineStr">
        <is>
          <t>kg/m3</t>
        </is>
      </c>
      <c r="F96" s="27" t="inlineStr">
        <is>
          <t>Alternative: rho_g = 2.7 x SG x P / (T_R x Z).</t>
        </is>
      </c>
    </row>
    <row r="97">
      <c r="A97" s="28" t="inlineStr">
        <is>
          <t>Wellhead pressure</t>
        </is>
      </c>
      <c r="B97" s="31" t="n">
        <v>300</v>
      </c>
      <c r="C97" s="30" t="inlineStr">
        <is>
          <t>psi</t>
        </is>
      </c>
      <c r="D97" s="32">
        <f>IFERROR($B$97*6.894757,NA())</f>
        <v/>
      </c>
      <c r="E97" s="30" t="inlineStr">
        <is>
          <t>kPa</t>
        </is>
      </c>
    </row>
    <row r="98">
      <c r="A98" s="28" t="inlineStr">
        <is>
          <t>Wellhead temperature</t>
        </is>
      </c>
      <c r="B98" s="37" t="n">
        <v>100</v>
      </c>
      <c r="C98" s="30" t="inlineStr">
        <is>
          <t>degF</t>
        </is>
      </c>
      <c r="D98" s="40">
        <f>IFERROR(($B$98-32)/1.8,NA())</f>
        <v/>
      </c>
      <c r="E98" s="30" t="inlineStr">
        <is>
          <t>degC</t>
        </is>
      </c>
    </row>
    <row r="99">
      <c r="A99" s="28" t="inlineStr">
        <is>
          <t>Gas specific gravity</t>
        </is>
      </c>
      <c r="B99" s="41" t="n">
        <v>0.65</v>
      </c>
      <c r="C99" s="30" t="inlineStr"/>
      <c r="F99" s="27" t="inlineStr">
        <is>
          <t>For the alternative gas density estimate rho_g = 2.7 x SG x P/(T_R x Z).</t>
        </is>
      </c>
    </row>
    <row r="100">
      <c r="A100" s="28" t="inlineStr">
        <is>
          <t>Gas Z factor at wellhead</t>
        </is>
      </c>
      <c r="B100" s="41" t="n">
        <v>0.9</v>
      </c>
      <c r="C100" s="30" t="inlineStr"/>
    </row>
    <row r="101">
      <c r="A101" s="28" t="inlineStr">
        <is>
          <t>Tubing ID</t>
        </is>
      </c>
      <c r="B101" s="84">
        <f>WD_TbgID</f>
        <v/>
      </c>
      <c r="C101" s="30" t="inlineStr">
        <is>
          <t>in</t>
        </is>
      </c>
      <c r="D101" s="34">
        <f>IFERROR($B$101*25.4,NA())</f>
        <v/>
      </c>
      <c r="E101" s="30" t="inlineStr">
        <is>
          <t>mm</t>
        </is>
      </c>
      <c r="F101" s="27" t="inlineStr">
        <is>
          <t>Linked to Well Data sheet - overwrite locally if this well differs.</t>
        </is>
      </c>
    </row>
    <row r="102">
      <c r="A102" s="28" t="inlineStr">
        <is>
          <t>Turner terminal velocity (Vt)</t>
        </is>
      </c>
      <c r="B102" s="51">
        <f>20.4*$B$94^0.25*($B$95-$B$96)^0.25/$B$96^0.5</f>
        <v/>
      </c>
      <c r="C102" s="30" t="inlineStr">
        <is>
          <t>ft/s</t>
        </is>
      </c>
      <c r="D102" s="42">
        <f>IFERROR($B$102*0.3048,NA())</f>
        <v/>
      </c>
      <c r="E102" s="30" t="inlineStr">
        <is>
          <t>m/s</t>
        </is>
      </c>
    </row>
    <row r="103">
      <c r="A103" s="28" t="inlineStr">
        <is>
          <t>Tubing flow area</t>
        </is>
      </c>
      <c r="B103" s="58">
        <f>PI()/4*$B$101^2/144</f>
        <v/>
      </c>
      <c r="C103" s="30" t="inlineStr">
        <is>
          <t>ft2</t>
        </is>
      </c>
      <c r="D103" s="39">
        <f>IFERROR($B$103*0.09290304,NA())</f>
        <v/>
      </c>
      <c r="E103" s="30" t="inlineStr">
        <is>
          <t>m2</t>
        </is>
      </c>
    </row>
    <row r="104">
      <c r="A104" s="28" t="inlineStr">
        <is>
          <t>Critical gas rate (Qc)</t>
        </is>
      </c>
      <c r="B104" s="51">
        <f>3.06*$B$97*$B$102*$B$103/(($B$98+460)*$B$100)</f>
        <v/>
      </c>
      <c r="C104" s="30" t="inlineStr"/>
      <c r="F104" s="27" t="inlineStr">
        <is>
          <t>MMscf/d; standard field form with P psia, T degR, A ft2.</t>
        </is>
      </c>
    </row>
    <row r="105">
      <c r="A105" s="28" t="inlineStr">
        <is>
          <t>Current gas rate</t>
        </is>
      </c>
      <c r="B105" s="41" t="n">
        <v>1.2</v>
      </c>
      <c r="C105" s="30" t="inlineStr"/>
      <c r="F105" s="27" t="inlineStr">
        <is>
          <t>MMscf/d</t>
        </is>
      </c>
    </row>
    <row r="106">
      <c r="A106" s="28" t="inlineStr">
        <is>
          <t>Liquid loading status</t>
        </is>
      </c>
      <c r="B106" s="72">
        <f>IF($B$105&gt;=$B$104,"OK - above critical unloading rate","CHECK: below Turner critical - liquid loading likely; consider plunger/velocity string")</f>
        <v/>
      </c>
      <c r="C106" s="30" t="inlineStr"/>
    </row>
    <row r="108" ht="20" customHeight="1">
      <c r="A108" s="23" t="inlineStr">
        <is>
          <t>Completion Design Notes</t>
        </is>
      </c>
      <c r="B108" s="24" t="n"/>
      <c r="C108" s="24" t="n"/>
      <c r="D108" s="24" t="n"/>
      <c r="E108" s="24" t="n"/>
      <c r="F108" s="24" t="n"/>
    </row>
    <row r="110">
      <c r="A110" s="25" t="inlineStr">
        <is>
          <t>Rules of Thumb</t>
        </is>
      </c>
      <c r="B110" s="26" t="n"/>
      <c r="C110" s="26" t="n"/>
      <c r="D110" s="26" t="n"/>
      <c r="E110" s="26" t="n"/>
      <c r="F110" s="26" t="n"/>
    </row>
    <row r="111">
      <c r="A111" s="27" t="inlineStr">
        <is>
          <t>Screen flux</t>
        </is>
      </c>
      <c r="F111" s="27" t="inlineStr">
        <is>
          <t>Gravel pack screen flux guideline: &lt; ~30-50 bpd per ft of screen.</t>
        </is>
      </c>
    </row>
    <row r="112">
      <c r="A112" s="27" t="inlineStr">
        <is>
          <t>Blank pipe</t>
        </is>
      </c>
      <c r="F112" s="27" t="inlineStr">
        <is>
          <t>Run 1.5-2x screen length of blank pipe as gravel reserve above the top of the screen.</t>
        </is>
      </c>
    </row>
    <row r="113">
      <c r="A113" s="27" t="inlineStr">
        <is>
          <t>Perforating</t>
        </is>
      </c>
      <c r="F113" s="27" t="inlineStr">
        <is>
          <t>Big-hole charges at 12 spf typical for cased-hole gravel pack perforating.</t>
        </is>
      </c>
    </row>
    <row r="114">
      <c r="A114" s="27" t="inlineStr">
        <is>
          <t>Placement</t>
        </is>
      </c>
      <c r="F114" s="27" t="inlineStr">
        <is>
          <t>Centralize screens; washpipe OD ~ 0.8 x screen base pipe ID for good alpha-beta wave placement.</t>
        </is>
      </c>
    </row>
  </sheetData>
  <sheetProtection selectLockedCells="0" selectUnlockedCells="0" sheet="1" objects="0" insertRows="1" insertHyperlinks="1" autoFilter="1" scenarios="0" formatColumns="0" deleteColumns="1" insertColumns="1" pivotTables="1" deleteRows="1" formatCells="1" formatRows="0" sort="1"/>
  <mergeCells count="10">
    <mergeCell ref="A2:F2"/>
    <mergeCell ref="A52:F52"/>
    <mergeCell ref="A90:F90"/>
    <mergeCell ref="A108:F108"/>
    <mergeCell ref="A1:F1"/>
    <mergeCell ref="A32:F32"/>
    <mergeCell ref="A6:F6"/>
    <mergeCell ref="A22:F22"/>
    <mergeCell ref="A78:F78"/>
    <mergeCell ref="A65:F65"/>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35.xml><?xml version="1.0" encoding="utf-8"?>
<worksheet xmlns="http://schemas.openxmlformats.org/spreadsheetml/2006/main">
  <sheetPr>
    <tabColor rgb="00548235"/>
    <outlinePr summaryBelow="1" summaryRight="1"/>
    <pageSetUpPr/>
  </sheetPr>
  <dimension ref="A1:F72"/>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Production Chemistry &amp; Materials Screening</t>
        </is>
      </c>
      <c r="B1" s="2" t="n"/>
      <c r="C1" s="2" t="n"/>
      <c r="D1" s="2" t="n"/>
      <c r="E1" s="2" t="n"/>
      <c r="F1" s="2" t="n"/>
    </row>
    <row r="2">
      <c r="A2" s="20" t="inlineStr">
        <is>
          <t>CO2/H2S partial pressures, corrosion rate, material selection screen, hydrate formation and inhibitor dosing, scale screening</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CO2 Corrosion</t>
        </is>
      </c>
      <c r="B6" s="24" t="n"/>
      <c r="C6" s="24" t="n"/>
      <c r="D6" s="24" t="n"/>
      <c r="E6" s="24" t="n"/>
      <c r="F6" s="24" t="n"/>
    </row>
    <row r="8">
      <c r="A8" s="25" t="inlineStr">
        <is>
          <t>CO2 Partial Pressure &amp; Severity</t>
        </is>
      </c>
      <c r="B8" s="26" t="n"/>
      <c r="C8" s="26" t="n"/>
      <c r="D8" s="26" t="n"/>
      <c r="E8" s="26" t="n"/>
      <c r="F8" s="49" t="inlineStr">
        <is>
          <t>pCO2 [psi] = mol% CO2 / 100 x P_res</t>
        </is>
      </c>
    </row>
    <row r="9">
      <c r="A9" t="inlineStr"/>
      <c r="F9" s="27" t="inlineStr">
        <is>
          <t>Partial pressure taken at reservoir pressure - worst case for the completion. Use flowing pressure at the point of interest for local checks.</t>
        </is>
      </c>
    </row>
    <row r="10">
      <c r="A10" s="28" t="inlineStr">
        <is>
          <t>Reservoir pressure (P_res)</t>
        </is>
      </c>
      <c r="B10" s="64">
        <f>WD_ResP</f>
        <v/>
      </c>
      <c r="C10" s="30" t="inlineStr">
        <is>
          <t>psi</t>
        </is>
      </c>
      <c r="D10" s="32">
        <f>IFERROR($B$10*6.894757,NA())</f>
        <v/>
      </c>
      <c r="E10" s="30" t="inlineStr">
        <is>
          <t>kPa</t>
        </is>
      </c>
      <c r="F10" s="27" t="inlineStr">
        <is>
          <t>Linked to Well Data sheet - overwrite locally if this well differs.</t>
        </is>
      </c>
    </row>
    <row r="11">
      <c r="A11" s="28" t="inlineStr">
        <is>
          <t>CO2 content</t>
        </is>
      </c>
      <c r="B11" s="41" t="n">
        <v>2</v>
      </c>
      <c r="C11" s="30" t="inlineStr">
        <is>
          <t>mol %</t>
        </is>
      </c>
    </row>
    <row r="12">
      <c r="A12" s="28" t="inlineStr">
        <is>
          <t>Bottomhole temperature</t>
        </is>
      </c>
      <c r="B12" s="31" t="n">
        <v>180</v>
      </c>
      <c r="C12" s="30" t="inlineStr">
        <is>
          <t>degF</t>
        </is>
      </c>
      <c r="D12" s="32">
        <f>IFERROR(($B$12-32)/1.8,NA())</f>
        <v/>
      </c>
      <c r="E12" s="30" t="inlineStr">
        <is>
          <t>degC</t>
        </is>
      </c>
    </row>
    <row r="13">
      <c r="A13" s="28" t="inlineStr">
        <is>
          <t>CO2 partial pressure (pCO2)</t>
        </is>
      </c>
      <c r="B13" s="54">
        <f>$B$11/100*$B$10</f>
        <v/>
      </c>
      <c r="C13" s="30" t="inlineStr">
        <is>
          <t>psi</t>
        </is>
      </c>
      <c r="D13" s="40">
        <f>IFERROR($B$13*6.894757,NA())</f>
        <v/>
      </c>
      <c r="E13" s="30" t="inlineStr">
        <is>
          <t>kPa</t>
        </is>
      </c>
    </row>
    <row r="14">
      <c r="A14" s="28" t="inlineStr">
        <is>
          <t>CO2 severity</t>
        </is>
      </c>
      <c r="B14" s="72">
        <f>IF($B$13&lt;7,"OK - carbon steel acceptable",IF($B$13&lt;30,"MARGINAL - carbon steel + continuous inhibition","CHECK: corrosive - CRA (13Cr or better) indicated"))</f>
        <v/>
      </c>
      <c r="C14" s="30" t="inlineStr"/>
      <c r="F14" s="27" t="inlineStr">
        <is>
          <t>7 / 30 psi pCO2 rules of thumb are screening only - actual corrosivity depends on temperature, water chemistry, wetting and flow regime.</t>
        </is>
      </c>
    </row>
    <row r="16">
      <c r="A16" s="25" t="inlineStr">
        <is>
          <t>de Waard-Milliams Corrosion Rate (1975 nomogram form)</t>
        </is>
      </c>
      <c r="B16" s="26" t="n"/>
      <c r="C16" s="26" t="n"/>
      <c r="D16" s="26" t="n"/>
      <c r="E16" s="26" t="n"/>
      <c r="F16" s="49" t="inlineStr">
        <is>
          <t>CR [mm/yr] = 10^(5.8 - 1710/T_K + 0.67 x LOG10(pCO2_bar))</t>
        </is>
      </c>
    </row>
    <row r="17">
      <c r="A17" t="inlineStr"/>
      <c r="F17" s="27" t="inlineStr">
        <is>
          <t>de Waard &amp; Milliams (1975), screening form. Uninhibited, worst-case: no scaling, wetting, pH or velocity corrections. Overpredicts above ~ 60 degC where protective FeCO3 films form. Uses pCO2 and bottomhole temperature from the block above.</t>
        </is>
      </c>
    </row>
    <row r="18">
      <c r="A18" s="28" t="inlineStr">
        <is>
          <t>CO2 partial pressure</t>
        </is>
      </c>
      <c r="B18" s="50">
        <f>$B$13*0.0689476</f>
        <v/>
      </c>
      <c r="C18" s="30" t="inlineStr">
        <is>
          <t>bar</t>
        </is>
      </c>
      <c r="F18" s="27" t="inlineStr">
        <is>
          <t>pCO2 [bar] = pCO2 [psi] x 0.0689476</t>
        </is>
      </c>
    </row>
    <row r="19">
      <c r="A19" s="28" t="inlineStr">
        <is>
          <t>Uninhibited corrosion rate (CR)</t>
        </is>
      </c>
      <c r="B19" s="54">
        <f>10^(5.8-1710/(($B$12-32)/1.8+273.15)+0.67*LOG10($B$18))</f>
        <v/>
      </c>
      <c r="C19" s="30" t="inlineStr">
        <is>
          <t>mm/yr</t>
        </is>
      </c>
      <c r="F19" s="27" t="inlineStr">
        <is>
          <t>T_K = (T [degF] - 32)/1.8 + 273.15</t>
        </is>
      </c>
    </row>
    <row r="21" ht="20" customHeight="1">
      <c r="A21" s="23" t="inlineStr">
        <is>
          <t>H2S &amp; Sour Service (NACE MR0175 / ISO 15156)</t>
        </is>
      </c>
      <c r="B21" s="24" t="n"/>
      <c r="C21" s="24" t="n"/>
      <c r="D21" s="24" t="n"/>
      <c r="E21" s="24" t="n"/>
      <c r="F21" s="24" t="n"/>
    </row>
    <row r="23">
      <c r="A23" s="25" t="inlineStr">
        <is>
          <t>H2S Partial Pressure &amp; Sour-Service Threshold</t>
        </is>
      </c>
      <c r="B23" s="26" t="n"/>
      <c r="C23" s="26" t="n"/>
      <c r="D23" s="26" t="n"/>
      <c r="E23" s="26" t="n"/>
      <c r="F23" s="49" t="inlineStr">
        <is>
          <t>pH2S [psi] = mol% H2S / 100 x P_res</t>
        </is>
      </c>
    </row>
    <row r="24">
      <c r="A24" t="inlineStr"/>
      <c r="F24" s="27" t="inlineStr">
        <is>
          <t>MR0175/ISO 15156 sour-service threshold: pH2S &gt;= 0.05 psia (0.0034 bar). Uses reservoir pressure linked above.</t>
        </is>
      </c>
    </row>
    <row r="25">
      <c r="A25" s="28" t="inlineStr">
        <is>
          <t>H2S content</t>
        </is>
      </c>
      <c r="B25" s="38" t="n">
        <v>0.002</v>
      </c>
      <c r="C25" s="30" t="inlineStr">
        <is>
          <t>mol %</t>
        </is>
      </c>
    </row>
    <row r="26">
      <c r="A26" s="28" t="inlineStr">
        <is>
          <t>H2S partial pressure (pH2S)</t>
        </is>
      </c>
      <c r="B26" s="58">
        <f>$B$25/100*$B$10</f>
        <v/>
      </c>
      <c r="C26" s="30" t="inlineStr">
        <is>
          <t>psi</t>
        </is>
      </c>
      <c r="D26" s="39">
        <f>IFERROR($B$26*6.894757,NA())</f>
        <v/>
      </c>
      <c r="E26" s="30" t="inlineStr">
        <is>
          <t>kPa</t>
        </is>
      </c>
    </row>
    <row r="27">
      <c r="A27" s="28" t="inlineStr">
        <is>
          <t>Sour-service status</t>
        </is>
      </c>
      <c r="B27" s="72">
        <f>IF($B$26&gt;=0.05,"CHECK: sour service - MR0175 materials required (max 22 HRC CS, sour-rated CRAs)","OK - non-sour per MR0175 threshold 0.05 psia")</f>
        <v/>
      </c>
      <c r="C27" s="30" t="inlineStr"/>
      <c r="F27" s="27" t="inlineStr">
        <is>
          <t>Sour service restricts hardness (carbon steel max 22 HRC) and limits many CRAs by temperature/chloride/pH2S domain.</t>
        </is>
      </c>
    </row>
    <row r="29" ht="20" customHeight="1">
      <c r="A29" s="23" t="inlineStr">
        <is>
          <t>Material Selection Screen</t>
        </is>
      </c>
      <c r="B29" s="24" t="n"/>
      <c r="C29" s="24" t="n"/>
      <c r="D29" s="24" t="n"/>
      <c r="E29" s="24" t="n"/>
      <c r="F29" s="24" t="n"/>
    </row>
    <row r="31">
      <c r="A31" s="25" t="inlineStr">
        <is>
          <t>Tubing Metallurgy First-Pass Screen</t>
        </is>
      </c>
      <c r="B31" s="26" t="n"/>
      <c r="C31" s="26" t="n"/>
      <c r="D31" s="26" t="n"/>
      <c r="E31" s="26" t="n"/>
      <c r="F31" s="49" t="inlineStr">
        <is>
          <t>Nested IF on pH2S (sour split), pCO2, temperature, chlorides</t>
        </is>
      </c>
    </row>
    <row r="32">
      <c r="A32" t="inlineStr"/>
      <c r="F32" s="27" t="inlineStr">
        <is>
          <t>First-pass screen in the style of Bellarby's material selection charts, using pCO2 and pH2S from the sections above. Screening only - verify with NACE MR0175/ISO 15156 domain limits, lab testing and vendor data before selection.</t>
        </is>
      </c>
    </row>
    <row r="33">
      <c r="A33" s="28" t="inlineStr">
        <is>
          <t>Chloride content</t>
        </is>
      </c>
      <c r="B33" s="31" t="n">
        <v>50000</v>
      </c>
      <c r="C33" s="30" t="inlineStr">
        <is>
          <t>mg/L</t>
        </is>
      </c>
    </row>
    <row r="34">
      <c r="A34" s="28" t="inlineStr">
        <is>
          <t>Maximum temperature</t>
        </is>
      </c>
      <c r="B34" s="31" t="n">
        <v>250</v>
      </c>
      <c r="C34" s="30" t="inlineStr">
        <is>
          <t>degF</t>
        </is>
      </c>
      <c r="D34" s="32">
        <f>IFERROR(($B$34-32)/1.8,NA())</f>
        <v/>
      </c>
      <c r="E34" s="30" t="inlineStr">
        <is>
          <t>degC</t>
        </is>
      </c>
    </row>
    <row r="35">
      <c r="A35" s="28" t="inlineStr">
        <is>
          <t>Indicated material class</t>
        </is>
      </c>
      <c r="B35" s="72">
        <f>IF($B$26&gt;=0.05,IF($B$13&lt;7,"Carbon steel (sour-rated, max 22 HRC)","S13Cr / duplex - verify sour limits vs chlorides"),IF($B$13&lt;7,"Carbon steel",IF(AND($B$34&lt;300,$B$33&lt;50000),"13Cr","S13Cr or 22Cr duplex")))</f>
        <v/>
      </c>
      <c r="C35" s="30" t="inlineStr"/>
      <c r="F35" s="27" t="inlineStr">
        <is>
          <t>Sweet 13Cr screen limited here to &lt; 300 degF and &lt; 50,000 mg/L chlorides; beyond that step up to super-13Cr or 22Cr duplex.</t>
        </is>
      </c>
    </row>
    <row r="37" ht="20" customHeight="1">
      <c r="A37" s="23" t="inlineStr">
        <is>
          <t>Hydrate Formation</t>
        </is>
      </c>
      <c r="B37" s="24" t="n"/>
      <c r="C37" s="24" t="n"/>
      <c r="D37" s="24" t="n"/>
      <c r="E37" s="24" t="n"/>
      <c r="F37" s="24" t="n"/>
    </row>
    <row r="39">
      <c r="A39" s="25" t="inlineStr">
        <is>
          <t>Hydrate Formation Temperature (Towler &amp; Mokhatab 2005)</t>
        </is>
      </c>
      <c r="B39" s="26" t="n"/>
      <c r="C39" s="26" t="n"/>
      <c r="D39" s="26" t="n"/>
      <c r="E39" s="26" t="n"/>
      <c r="F39" s="49" t="inlineStr">
        <is>
          <t>Thyd [degF] = 13.47 x LN(P) + 34.27 x LN(SG) - 1.675 x LN(P) x LN(SG) - 20.35</t>
        </is>
      </c>
    </row>
    <row r="40">
      <c r="A40" t="inlineStr"/>
      <c r="F40" s="27" t="inlineStr">
        <is>
          <t>Towler &amp; Mokhatab (2005) correlation, P in psia, sweet natural gas SG 0.55-1.0. Screening only - H2S/CO2 shift the curve; use a thermodynamic model for design.</t>
        </is>
      </c>
    </row>
    <row r="41">
      <c r="A41" s="28" t="inlineStr">
        <is>
          <t>Gas specific gravity (air = 1)</t>
        </is>
      </c>
      <c r="B41" s="33" t="n">
        <v>0.65</v>
      </c>
      <c r="C41" s="30" t="inlineStr"/>
    </row>
    <row r="42">
      <c r="A42" s="28" t="inlineStr">
        <is>
          <t>Pressure at point of interest</t>
        </is>
      </c>
      <c r="B42" s="31" t="n">
        <v>2000</v>
      </c>
      <c r="C42" s="30" t="inlineStr">
        <is>
          <t>psi</t>
        </is>
      </c>
      <c r="D42" s="32">
        <f>IFERROR($B$42*6.894757,NA())</f>
        <v/>
      </c>
      <c r="E42" s="30" t="inlineStr">
        <is>
          <t>kPa</t>
        </is>
      </c>
      <c r="F42" s="27" t="inlineStr">
        <is>
          <t>Absolute pressure (psia).</t>
        </is>
      </c>
    </row>
    <row r="43">
      <c r="A43" s="28" t="inlineStr">
        <is>
          <t>Ambient / seabed temperature</t>
        </is>
      </c>
      <c r="B43" s="31" t="n">
        <v>60</v>
      </c>
      <c r="C43" s="30" t="inlineStr">
        <is>
          <t>degF</t>
        </is>
      </c>
      <c r="D43" s="32">
        <f>IFERROR(($B$43-32)/1.8,NA())</f>
        <v/>
      </c>
      <c r="E43" s="30" t="inlineStr">
        <is>
          <t>degC</t>
        </is>
      </c>
    </row>
    <row r="44">
      <c r="A44" s="28" t="inlineStr">
        <is>
          <t>Hydrate formation temperature (Thyd)</t>
        </is>
      </c>
      <c r="B44" s="54">
        <f>13.47*LN($B$42)+34.27*LN($B$41)-1.675*LN($B$42)*LN($B$41)-20.35</f>
        <v/>
      </c>
      <c r="C44" s="30" t="inlineStr">
        <is>
          <t>degF</t>
        </is>
      </c>
      <c r="D44" s="40">
        <f>IFERROR(($B$44-32)/1.8,NA())</f>
        <v/>
      </c>
      <c r="E44" s="30" t="inlineStr">
        <is>
          <t>degC</t>
        </is>
      </c>
    </row>
    <row r="45">
      <c r="A45" s="28" t="inlineStr">
        <is>
          <t>Margin above hydrate curve</t>
        </is>
      </c>
      <c r="B45" s="54">
        <f>$B$43-$B$44</f>
        <v/>
      </c>
      <c r="C45" s="30" t="inlineStr">
        <is>
          <t>degF</t>
        </is>
      </c>
      <c r="D45" s="40">
        <f>IFERROR($B$45/1.8,NA())</f>
        <v/>
      </c>
      <c r="E45" s="30" t="inlineStr">
        <is>
          <t>degC</t>
        </is>
      </c>
      <c r="F45" s="27" t="inlineStr">
        <is>
          <t>Margin = T_ambient - Thyd. Positive = operating above (outside) the hydrate curve.</t>
        </is>
      </c>
    </row>
    <row r="46">
      <c r="A46" s="28" t="inlineStr">
        <is>
          <t>Hydrate status</t>
        </is>
      </c>
      <c r="B46" s="72">
        <f>IF($B$45&gt;=10,"OK - outside hydrate region",IF($B$45&gt;=0,"MARGINAL - near hydrate curve","CHECK: inside hydrate region - inhibit or insulate"))</f>
        <v/>
      </c>
      <c r="C46" s="30" t="inlineStr"/>
    </row>
    <row r="48">
      <c r="A48" s="25" t="inlineStr">
        <is>
          <t>Hammerschmidt Inhibitor Dosing</t>
        </is>
      </c>
      <c r="B48" s="26" t="n"/>
      <c r="C48" s="26" t="n"/>
      <c r="D48" s="26" t="n"/>
      <c r="E48" s="26" t="n"/>
      <c r="F48" s="49" t="inlineStr">
        <is>
          <t>dT = K x W / (M x (100 - W))  -&gt;  W [wt%] = 100 x dT x M / (K + dT x M);  K = 2335</t>
        </is>
      </c>
    </row>
    <row r="49">
      <c r="A49" t="inlineStr"/>
      <c r="F49" s="27" t="inlineStr">
        <is>
          <t>Hammerschmidt (1934) equation, K = 2335 (degF basis). Valid to roughly 20-25 wt% inhibitor in the water phase - beyond that use Nielsen-Bucklin or a thermodynamic model. W is wt% in the aqueous phase, not of total liquids.</t>
        </is>
      </c>
    </row>
    <row r="50">
      <c r="A50" s="28" t="inlineStr">
        <is>
          <t>Required hydrate depression (dT)</t>
        </is>
      </c>
      <c r="B50" s="54">
        <f>MAX(0,$B$44-$B$43+5)</f>
        <v/>
      </c>
      <c r="C50" s="30" t="inlineStr">
        <is>
          <t>degF</t>
        </is>
      </c>
      <c r="D50" s="40">
        <f>IFERROR($B$50/1.8,NA())</f>
        <v/>
      </c>
      <c r="E50" s="30" t="inlineStr">
        <is>
          <t>degC</t>
        </is>
      </c>
      <c r="F50" s="27" t="inlineStr">
        <is>
          <t>dT = MAX(0, Thyd - T_ambient + 5 degF margin)</t>
        </is>
      </c>
    </row>
    <row r="51">
      <c r="A51" s="28" t="inlineStr">
        <is>
          <t>Methanol required (M = 32)</t>
        </is>
      </c>
      <c r="B51" s="54">
        <f>100*$B$50*32/(2335+$B$50*32)</f>
        <v/>
      </c>
      <c r="C51" s="30" t="inlineStr">
        <is>
          <t>wt%</t>
        </is>
      </c>
      <c r="F51" s="27" t="inlineStr">
        <is>
          <t>wt% methanol in the water phase.</t>
        </is>
      </c>
    </row>
    <row r="52">
      <c r="A52" s="28" t="inlineStr">
        <is>
          <t>MEG required (M = 62)</t>
        </is>
      </c>
      <c r="B52" s="54">
        <f>100*$B$50*62/(2335+$B$50*62)</f>
        <v/>
      </c>
      <c r="C52" s="30" t="inlineStr">
        <is>
          <t>wt%</t>
        </is>
      </c>
      <c r="F52" s="27" t="inlineStr">
        <is>
          <t>wt% mono-ethylene glycol in the water phase.</t>
        </is>
      </c>
    </row>
    <row r="54" ht="20" customHeight="1">
      <c r="A54" s="23" t="inlineStr">
        <is>
          <t>Scale &amp; Deposition Screening</t>
        </is>
      </c>
      <c r="B54" s="24" t="n"/>
      <c r="C54" s="24" t="n"/>
      <c r="D54" s="24" t="n"/>
      <c r="E54" s="24" t="n"/>
      <c r="F54" s="24" t="n"/>
    </row>
    <row r="56">
      <c r="A56" s="25" t="inlineStr">
        <is>
          <t>Deposition Screening Checklist</t>
        </is>
      </c>
      <c r="B56" s="26" t="n"/>
      <c r="C56" s="26" t="n"/>
      <c r="D56" s="26" t="n"/>
      <c r="E56" s="26" t="n"/>
      <c r="F56" s="26" t="n"/>
    </row>
    <row r="57">
      <c r="A57" t="inlineStr"/>
      <c r="F57" s="27" t="inlineStr">
        <is>
          <t>Qualitative screens - confirm with water analyses and lab models before designing the chemical program.</t>
        </is>
      </c>
    </row>
    <row r="58">
      <c r="A58" s="27" t="inlineStr">
        <is>
          <t>CaCO3 scale</t>
        </is>
      </c>
      <c r="F58" s="27" t="inlineStr">
        <is>
          <t>Risk rises with pressure drop (CO2 flashes off) and temperature increase - worst at chokes, SSSVs, pumps and perforations.</t>
        </is>
      </c>
    </row>
    <row r="59">
      <c r="A59" s="27" t="inlineStr">
        <is>
          <t>BaSO4 / SrSO4 scale</t>
        </is>
      </c>
      <c r="F59" s="27" t="inlineStr">
        <is>
          <t>Driven by injection-water mixing (sulphate-rich seawater + barium/strontium formation water) - run a ScaleChem-type mixing model on the water analyses.</t>
        </is>
      </c>
    </row>
    <row r="60">
      <c r="A60" s="27" t="inlineStr">
        <is>
          <t>Wax</t>
        </is>
      </c>
      <c r="F60" s="27" t="inlineStr">
        <is>
          <t>Wax appearance temperature (WAT) from lab measurement - keep flowing temperature above WAT + 10 degF or provide insulation / chemicals / pigging.</t>
        </is>
      </c>
    </row>
    <row r="61">
      <c r="A61" s="27" t="inlineStr">
        <is>
          <t>Asphaltenes</t>
        </is>
      </c>
      <c r="F61" s="27" t="inlineStr">
        <is>
          <t>Onset screening via de Boer plot (in-situ density vs undersaturation P_res - P_bubble) - light, highly undersaturated oils are the usual offenders.</t>
        </is>
      </c>
    </row>
    <row r="63">
      <c r="A63" s="25" t="inlineStr">
        <is>
          <t>Langelier Saturation Index (water scaling quick screen)</t>
        </is>
      </c>
      <c r="B63" s="26" t="n"/>
      <c r="C63" s="26" t="n"/>
      <c r="D63" s="26" t="n"/>
      <c r="E63" s="26" t="n"/>
      <c r="F63" s="49" t="inlineStr">
        <is>
          <t>LSI = pH - pHs;  pHs = (9.3 + A + B) - (C + D);  A = (LOG10(TDS)-1)/10;  B = -13.12 x LOG10(T_K) + 34.55;  C = LOG10(Ca) - 0.4;  D = LOG10(alk)</t>
        </is>
      </c>
    </row>
    <row r="64">
      <c r="A64" t="inlineStr"/>
      <c r="F64" s="27" t="inlineStr">
        <is>
          <t>Langelier (1936) index for CaCO3 in low-ionic-strength water - use Stiff-Davis for oilfield brines. Positive LSI = CaCO3 scaling tendency.</t>
        </is>
      </c>
    </row>
    <row r="65">
      <c r="A65" s="28" t="inlineStr">
        <is>
          <t>Water pH</t>
        </is>
      </c>
      <c r="B65" s="41" t="n">
        <v>6.8</v>
      </c>
      <c r="C65" s="30" t="inlineStr"/>
    </row>
    <row r="66">
      <c r="A66" s="28" t="inlineStr">
        <is>
          <t>Total dissolved solids (TDS)</t>
        </is>
      </c>
      <c r="B66" s="31" t="n">
        <v>35000</v>
      </c>
      <c r="C66" s="30" t="inlineStr">
        <is>
          <t>mg/L</t>
        </is>
      </c>
    </row>
    <row r="67">
      <c r="A67" s="28" t="inlineStr">
        <is>
          <t>Calcium hardness as CaCO3</t>
        </is>
      </c>
      <c r="B67" s="31" t="n">
        <v>250</v>
      </c>
      <c r="C67" s="30" t="inlineStr">
        <is>
          <t>mg/L</t>
        </is>
      </c>
    </row>
    <row r="68">
      <c r="A68" s="28" t="inlineStr">
        <is>
          <t>Alkalinity as CaCO3</t>
        </is>
      </c>
      <c r="B68" s="31" t="n">
        <v>300</v>
      </c>
      <c r="C68" s="30" t="inlineStr">
        <is>
          <t>mg/L</t>
        </is>
      </c>
    </row>
    <row r="69">
      <c r="A69" s="28" t="inlineStr">
        <is>
          <t>Water temperature</t>
        </is>
      </c>
      <c r="B69" s="31" t="n">
        <v>150</v>
      </c>
      <c r="C69" s="30" t="inlineStr">
        <is>
          <t>degF</t>
        </is>
      </c>
      <c r="D69" s="32">
        <f>IFERROR(($B$69-32)/1.8,NA())</f>
        <v/>
      </c>
      <c r="E69" s="30" t="inlineStr">
        <is>
          <t>degC</t>
        </is>
      </c>
    </row>
    <row r="70">
      <c r="A70" s="28" t="inlineStr">
        <is>
          <t>Saturation pH (pHs)</t>
        </is>
      </c>
      <c r="B70" s="51">
        <f>(9.3+(LOG10($B$66)-1)/10+(-13.12*LOG10(($B$69-32)/1.8+273.15)+34.55))-((LOG10($B$67)-0.4)+LOG10($B$68))</f>
        <v/>
      </c>
      <c r="C70" s="30" t="inlineStr"/>
      <c r="F70" s="27" t="inlineStr">
        <is>
          <t>T_K = (T [degF] - 32)/1.8 + 273.15</t>
        </is>
      </c>
    </row>
    <row r="71">
      <c r="A71" s="28" t="inlineStr">
        <is>
          <t>Langelier saturation index (LSI)</t>
        </is>
      </c>
      <c r="B71" s="51">
        <f>$B$65-$B$70</f>
        <v/>
      </c>
      <c r="C71" s="30" t="inlineStr"/>
    </row>
    <row r="72">
      <c r="A72" s="28" t="inlineStr">
        <is>
          <t>Scaling status</t>
        </is>
      </c>
      <c r="B72" s="72">
        <f>IF($B$71&gt;0.5,"CHECK: scaling likely - inhibition required",IF($B$71&gt;0,"MARGINAL - scaling tendency","OK - non-scaling tendency"))</f>
        <v/>
      </c>
      <c r="C72" s="30" t="inlineStr"/>
    </row>
  </sheetData>
  <sheetProtection selectLockedCells="0" selectUnlockedCells="0" sheet="1" objects="0" insertRows="1" insertHyperlinks="1" autoFilter="1" scenarios="0" formatColumns="0" deleteColumns="1" insertColumns="1" pivotTables="1" deleteRows="1" formatCells="1" formatRows="0" sort="1"/>
  <mergeCells count="7">
    <mergeCell ref="A2:F2"/>
    <mergeCell ref="A54:F54"/>
    <mergeCell ref="A1:F1"/>
    <mergeCell ref="A37:F37"/>
    <mergeCell ref="A6:F6"/>
    <mergeCell ref="A21:F21"/>
    <mergeCell ref="A29:F29"/>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36.xml><?xml version="1.0" encoding="utf-8"?>
<worksheet xmlns="http://schemas.openxmlformats.org/spreadsheetml/2006/main">
  <sheetPr>
    <tabColor rgb="00548235"/>
    <outlinePr summaryBelow="1" summaryRight="1"/>
    <pageSetUpPr/>
  </sheetPr>
  <dimension ref="A1:F73"/>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Completion Equipment Checks</t>
        </is>
      </c>
      <c r="B1" s="2" t="n"/>
      <c r="C1" s="2" t="n"/>
      <c r="D1" s="2" t="n"/>
      <c r="E1" s="2" t="n"/>
      <c r="F1" s="2" t="n"/>
    </row>
    <row r="2">
      <c r="A2" s="20" t="inlineStr">
        <is>
          <t>TRSV setting depth and control line pressure, hydraulic packer setting, space-out / seal stroke, packer envelope, nipple ladder</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TRSV / Safety Valve &amp; Control Line</t>
        </is>
      </c>
      <c r="B6" s="24" t="n"/>
      <c r="C6" s="24" t="n"/>
      <c r="D6" s="24" t="n"/>
      <c r="E6" s="24" t="n"/>
      <c r="F6" s="24" t="n"/>
    </row>
    <row r="8">
      <c r="A8" s="25" t="inlineStr">
        <is>
          <t>Control Line Pressure &amp; Setting Depth</t>
        </is>
      </c>
      <c r="B8" s="26" t="n"/>
      <c r="C8" s="26" t="n"/>
      <c r="D8" s="26" t="n"/>
      <c r="E8" s="26" t="n"/>
      <c r="F8" s="49" t="inlineStr">
        <is>
          <t>P_hyd_CL = 0.433 x SG x TVD;  P_surf = P_open + P_tbg - P_hyd_CL</t>
        </is>
      </c>
    </row>
    <row r="9">
      <c r="A9" t="inlineStr"/>
      <c r="F9" s="27" t="inlineStr">
        <is>
          <t>Deep-set valves need hydrostatic-balanced or nitrogen-charged designs; verify slam-closure rating with the vendor.</t>
        </is>
      </c>
    </row>
    <row r="10">
      <c r="A10" s="28" t="inlineStr">
        <is>
          <t>Valve setting depth (TVD)</t>
        </is>
      </c>
      <c r="B10" s="31" t="n">
        <v>1500</v>
      </c>
      <c r="C10" s="30" t="inlineStr">
        <is>
          <t>ft</t>
        </is>
      </c>
      <c r="D10" s="32">
        <f>IFERROR($B$10*0.3048,NA())</f>
        <v/>
      </c>
      <c r="E10" s="30" t="inlineStr">
        <is>
          <t>m</t>
        </is>
      </c>
    </row>
    <row r="11">
      <c r="A11" s="28" t="inlineStr">
        <is>
          <t>Control line fluid SG</t>
        </is>
      </c>
      <c r="B11" s="33" t="n">
        <v>1.02</v>
      </c>
      <c r="C11" s="30" t="inlineStr"/>
    </row>
    <row r="12">
      <c r="A12" s="28" t="inlineStr">
        <is>
          <t>Valve full-open operating pressure</t>
        </is>
      </c>
      <c r="B12" s="31" t="n">
        <v>2500</v>
      </c>
      <c r="C12" s="30" t="inlineStr">
        <is>
          <t>psi</t>
        </is>
      </c>
      <c r="D12" s="32">
        <f>IFERROR($B$12*6.894757,NA())</f>
        <v/>
      </c>
      <c r="E12" s="30" t="inlineStr">
        <is>
          <t>kPa</t>
        </is>
      </c>
      <c r="F12" s="27" t="inlineStr">
        <is>
          <t>Bench value at zero ambient (at-depth differential to open and hold the flapper/flow tube).</t>
        </is>
      </c>
    </row>
    <row r="13">
      <c r="A13" s="28" t="inlineStr">
        <is>
          <t>Tubing pressure at valve during operation</t>
        </is>
      </c>
      <c r="B13" s="31" t="n">
        <v>1500</v>
      </c>
      <c r="C13" s="30" t="inlineStr">
        <is>
          <t>psi</t>
        </is>
      </c>
      <c r="D13" s="32">
        <f>IFERROR($B$13*6.894757,NA())</f>
        <v/>
      </c>
      <c r="E13" s="30" t="inlineStr">
        <is>
          <t>kPa</t>
        </is>
      </c>
    </row>
    <row r="14">
      <c r="A14" s="28" t="inlineStr">
        <is>
          <t>Vendor max fail-safe setting depth</t>
        </is>
      </c>
      <c r="B14" s="31" t="n">
        <v>2000</v>
      </c>
      <c r="C14" s="30" t="inlineStr">
        <is>
          <t>ft</t>
        </is>
      </c>
      <c r="D14" s="32">
        <f>IFERROR($B$14*0.3048,NA())</f>
        <v/>
      </c>
      <c r="E14" s="30" t="inlineStr">
        <is>
          <t>m</t>
        </is>
      </c>
    </row>
    <row r="15">
      <c r="A15" s="28" t="inlineStr">
        <is>
          <t>Control line hydrostatic at valve</t>
        </is>
      </c>
      <c r="B15" s="59">
        <f>0.433*$B$11*$B$10</f>
        <v/>
      </c>
      <c r="C15" s="30" t="inlineStr">
        <is>
          <t>psi</t>
        </is>
      </c>
      <c r="D15" s="32">
        <f>IFERROR($B$15*6.894757,NA())</f>
        <v/>
      </c>
      <c r="E15" s="30" t="inlineStr">
        <is>
          <t>kPa</t>
        </is>
      </c>
      <c r="F15" s="27" t="inlineStr">
        <is>
          <t>P_hyd_CL [psi] = 0.433 x SG x TVD [ft]</t>
        </is>
      </c>
    </row>
    <row r="16">
      <c r="A16" s="28" t="inlineStr">
        <is>
          <t>Required surface control pressure</t>
        </is>
      </c>
      <c r="B16" s="59">
        <f>MAX(0,$B$12+$B$13-$B$15)</f>
        <v/>
      </c>
      <c r="C16" s="30" t="inlineStr">
        <is>
          <t>psi</t>
        </is>
      </c>
      <c r="D16" s="32">
        <f>IFERROR($B$16*6.894757,NA())</f>
        <v/>
      </c>
      <c r="E16" s="30" t="inlineStr">
        <is>
          <t>kPa</t>
        </is>
      </c>
      <c r="F16" s="27" t="inlineStr">
        <is>
          <t>Surface pressure to hold the valve fully open against tubing pressure, net of control line hydrostatic.</t>
        </is>
      </c>
    </row>
    <row r="17">
      <c r="A17" s="28" t="inlineStr">
        <is>
          <t>Setting depth status</t>
        </is>
      </c>
      <c r="B17" s="72">
        <f>IF($B$10&lt;=$B$14,"OK - within fail-safe depth rating","CHECK: EXCEEDS fail-safe setting depth - deeper spring/mag coupling valve required")</f>
        <v/>
      </c>
      <c r="C17" s="30" t="inlineStr"/>
      <c r="F17" s="27" t="inlineStr">
        <is>
          <t>Fail-safe closure relies on the spring beating control line hydrostatic - depth-limited per vendor.</t>
        </is>
      </c>
    </row>
    <row r="19" ht="20" customHeight="1">
      <c r="A19" s="23" t="inlineStr">
        <is>
          <t>Hydraulic Packer Setting</t>
        </is>
      </c>
      <c r="B19" s="24" t="n"/>
      <c r="C19" s="24" t="n"/>
      <c r="D19" s="24" t="n"/>
      <c r="E19" s="24" t="n"/>
      <c r="F19" s="24" t="n"/>
    </row>
    <row r="21">
      <c r="A21" s="25" t="inlineStr">
        <is>
          <t>Setting Pressure from Shear Pins</t>
        </is>
      </c>
      <c r="B21" s="26" t="n"/>
      <c r="C21" s="26" t="n"/>
      <c r="D21" s="26" t="n"/>
      <c r="E21" s="26" t="n"/>
      <c r="F21" s="49" t="inlineStr">
        <is>
          <t>F_shear = n x F_pin;  P_set = F_shear / A_piston;  P_applied = P_set + margin</t>
        </is>
      </c>
    </row>
    <row r="22">
      <c r="A22" t="inlineStr"/>
      <c r="F22" s="27" t="inlineStr">
        <is>
          <t>Requires a plug or ball on seat below the packer to pressure up against - verify plug/ball seat depth and retrieval plan before running.</t>
        </is>
      </c>
    </row>
    <row r="23">
      <c r="A23" s="28" t="inlineStr">
        <is>
          <t>Number of shear pins</t>
        </is>
      </c>
      <c r="B23" s="31" t="n">
        <v>5</v>
      </c>
      <c r="C23" s="30" t="inlineStr"/>
    </row>
    <row r="24">
      <c r="A24" s="28" t="inlineStr">
        <is>
          <t>Rating per pin</t>
        </is>
      </c>
      <c r="B24" s="31" t="n">
        <v>2000</v>
      </c>
      <c r="C24" s="30" t="inlineStr">
        <is>
          <t>lbf</t>
        </is>
      </c>
      <c r="D24" s="32">
        <f>IFERROR($B$24*0.004448222,NA())</f>
        <v/>
      </c>
      <c r="E24" s="30" t="inlineStr">
        <is>
          <t>kN</t>
        </is>
      </c>
    </row>
    <row r="25">
      <c r="A25" s="28" t="inlineStr">
        <is>
          <t>Setting piston area</t>
        </is>
      </c>
      <c r="B25" s="41" t="n">
        <v>6</v>
      </c>
      <c r="C25" s="30" t="inlineStr">
        <is>
          <t>in2</t>
        </is>
      </c>
      <c r="D25" s="42">
        <f>IFERROR($B$25*6.4516,NA())</f>
        <v/>
      </c>
      <c r="E25" s="30" t="inlineStr">
        <is>
          <t>cm2</t>
        </is>
      </c>
    </row>
    <row r="26">
      <c r="A26" s="28" t="inlineStr">
        <is>
          <t>Applied pressure margin</t>
        </is>
      </c>
      <c r="B26" s="31" t="n">
        <v>500</v>
      </c>
      <c r="C26" s="30" t="inlineStr">
        <is>
          <t>psi</t>
        </is>
      </c>
      <c r="D26" s="32">
        <f>IFERROR($B$26*6.894757,NA())</f>
        <v/>
      </c>
      <c r="E26" s="30" t="inlineStr">
        <is>
          <t>kPa</t>
        </is>
      </c>
    </row>
    <row r="27">
      <c r="A27" s="28" t="inlineStr">
        <is>
          <t>Tubing burst (derated)</t>
        </is>
      </c>
      <c r="B27" s="31" t="n">
        <v>7700</v>
      </c>
      <c r="C27" s="30" t="inlineStr">
        <is>
          <t>psi</t>
        </is>
      </c>
      <c r="D27" s="32">
        <f>IFERROR($B$27*6.894757,NA())</f>
        <v/>
      </c>
      <c r="E27" s="30" t="inlineStr">
        <is>
          <t>kPa</t>
        </is>
      </c>
      <c r="F27" s="27" t="inlineStr">
        <is>
          <t>Derated tubing burst at the weak point of the string.</t>
        </is>
      </c>
    </row>
    <row r="28">
      <c r="A28" s="28" t="inlineStr">
        <is>
          <t>Total shear value</t>
        </is>
      </c>
      <c r="B28" s="59">
        <f>$B$23*$B$24</f>
        <v/>
      </c>
      <c r="C28" s="30" t="inlineStr">
        <is>
          <t>lbf</t>
        </is>
      </c>
      <c r="D28" s="32">
        <f>IFERROR($B$28*0.004448222,NA())</f>
        <v/>
      </c>
      <c r="E28" s="30" t="inlineStr">
        <is>
          <t>kN</t>
        </is>
      </c>
    </row>
    <row r="29">
      <c r="A29" s="28" t="inlineStr">
        <is>
          <t>Setting pressure required</t>
        </is>
      </c>
      <c r="B29" s="59">
        <f>$B$28/$B$25</f>
        <v/>
      </c>
      <c r="C29" s="30" t="inlineStr">
        <is>
          <t>psi</t>
        </is>
      </c>
      <c r="D29" s="32">
        <f>IFERROR($B$29*6.894757,NA())</f>
        <v/>
      </c>
      <c r="E29" s="30" t="inlineStr">
        <is>
          <t>kPa</t>
        </is>
      </c>
    </row>
    <row r="30">
      <c r="A30" s="28" t="inlineStr">
        <is>
          <t>Recommended applied surface pressure</t>
        </is>
      </c>
      <c r="B30" s="59">
        <f>$B$29+$B$26</f>
        <v/>
      </c>
      <c r="C30" s="30" t="inlineStr">
        <is>
          <t>psi</t>
        </is>
      </c>
      <c r="D30" s="32">
        <f>IFERROR($B$30*6.894757,NA())</f>
        <v/>
      </c>
      <c r="E30" s="30" t="inlineStr">
        <is>
          <t>kPa</t>
        </is>
      </c>
      <c r="F30" s="27" t="inlineStr">
        <is>
          <t>Plus/minus hydrostatic differences if the plug is deep and fluid weights differ inside/outside the tubing.</t>
        </is>
      </c>
    </row>
    <row r="31">
      <c r="A31" s="28" t="inlineStr">
        <is>
          <t>Applied pressure vs tubing burst</t>
        </is>
      </c>
      <c r="B31" s="72">
        <f>IF($B$30&lt;=0.8*$B$27,"OK - comfortable vs tubing burst",IF($B$30&lt;=$B$27,"MARGINAL - close to tubing rating","CHECK: EXCEEDS tubing rating - reduce pins or bigger piston"))</f>
        <v/>
      </c>
      <c r="C31" s="30" t="inlineStr"/>
    </row>
    <row r="33" ht="20" customHeight="1">
      <c r="A33" s="23" t="inlineStr">
        <is>
          <t>Space-Out &amp; Seal Stroke</t>
        </is>
      </c>
      <c r="B33" s="24" t="n"/>
      <c r="C33" s="24" t="n"/>
      <c r="D33" s="24" t="n"/>
      <c r="E33" s="24" t="n"/>
      <c r="F33" s="24" t="n"/>
    </row>
    <row r="35">
      <c r="A35" s="25" t="inlineStr">
        <is>
          <t>Seal Stroke vs Predicted Tubing Movement</t>
        </is>
      </c>
      <c r="B35" s="26" t="n"/>
      <c r="C35" s="26" t="n"/>
      <c r="D35" s="26" t="n"/>
      <c r="E35" s="26" t="n"/>
      <c r="F35" s="49" t="inlineStr">
        <is>
          <t>Stroke_req = movement x SF;  compare to stroke available</t>
        </is>
      </c>
    </row>
    <row r="36">
      <c r="A36" t="inlineStr"/>
      <c r="F36" s="27" t="inlineStr">
        <is>
          <t>For latched (anchored) tubing, movement converts to force - run the Tubing Stress Analysis sheet instead.</t>
        </is>
      </c>
    </row>
    <row r="37">
      <c r="A37" s="28" t="inlineStr">
        <is>
          <t>Total predicted tubing movement</t>
        </is>
      </c>
      <c r="B37" s="37" t="n">
        <v>36</v>
      </c>
      <c r="C37" s="30" t="inlineStr">
        <is>
          <t>in</t>
        </is>
      </c>
      <c r="D37" s="40">
        <f>IFERROR($B$37*25.4,NA())</f>
        <v/>
      </c>
      <c r="E37" s="30" t="inlineStr">
        <is>
          <t>mm</t>
        </is>
      </c>
      <c r="F37" s="27" t="inlineStr">
        <is>
          <t>From the Tubing &amp; Packer Forces sheet - enter the total length change (sum of piston, ballooning, buckling and temperature terms).</t>
        </is>
      </c>
    </row>
    <row r="38">
      <c r="A38" s="28" t="inlineStr">
        <is>
          <t>Seal assembly stroke available</t>
        </is>
      </c>
      <c r="B38" s="37" t="n">
        <v>120</v>
      </c>
      <c r="C38" s="30" t="inlineStr">
        <is>
          <t>in</t>
        </is>
      </c>
      <c r="D38" s="40">
        <f>IFERROR($B$38*25.4,NA())</f>
        <v/>
      </c>
      <c r="E38" s="30" t="inlineStr">
        <is>
          <t>mm</t>
        </is>
      </c>
    </row>
    <row r="39">
      <c r="A39" s="28" t="inlineStr">
        <is>
          <t>Movement safety factor</t>
        </is>
      </c>
      <c r="B39" s="41" t="n">
        <v>1.5</v>
      </c>
      <c r="C39" s="30" t="inlineStr"/>
    </row>
    <row r="40">
      <c r="A40" s="28" t="inlineStr">
        <is>
          <t>Required stroke</t>
        </is>
      </c>
      <c r="B40" s="54">
        <f>$B$37*$B$39</f>
        <v/>
      </c>
      <c r="C40" s="30" t="inlineStr">
        <is>
          <t>in</t>
        </is>
      </c>
      <c r="D40" s="40">
        <f>IFERROR($B$40*25.4,NA())</f>
        <v/>
      </c>
      <c r="E40" s="30" t="inlineStr">
        <is>
          <t>mm</t>
        </is>
      </c>
    </row>
    <row r="41">
      <c r="A41" s="28" t="inlineStr">
        <is>
          <t>Seal stroke status</t>
        </is>
      </c>
      <c r="B41" s="72">
        <f>IF($B$38&gt;=$B$40,"OK - seal stroke sufficient",IF($B$38&gt;=$B$37,"MARGINAL - stroke less than factored movement","CHECK: INSUFFICIENT seal stroke - longer seal assembly or anchor latch"))</f>
        <v/>
      </c>
      <c r="C41" s="30" t="inlineStr"/>
    </row>
    <row r="43" ht="20" customHeight="1">
      <c r="A43" s="23" t="inlineStr">
        <is>
          <t>Packer Envelope Checks</t>
        </is>
      </c>
      <c r="B43" s="24" t="n"/>
      <c r="C43" s="24" t="n"/>
      <c r="D43" s="24" t="n"/>
      <c r="E43" s="24" t="n"/>
      <c r="F43" s="24" t="n"/>
    </row>
    <row r="45">
      <c r="A45" s="25" t="inlineStr">
        <is>
          <t>Differential &amp; Temperature vs Packer Ratings</t>
        </is>
      </c>
      <c r="B45" s="26" t="n"/>
      <c r="C45" s="26" t="n"/>
      <c r="D45" s="26" t="n"/>
      <c r="E45" s="26" t="n"/>
      <c r="F45" s="49" t="inlineStr">
        <is>
          <t>Utilization [%] = expected / rating x 100;  flags at 80% and 100%</t>
        </is>
      </c>
    </row>
    <row r="46">
      <c r="A46" t="inlineStr"/>
      <c r="F46" s="27" t="inlineStr">
        <is>
          <t>Check the full packer performance envelope (pressure/tension/compression combined) against vendor curves - these single-axis checks are screening only.</t>
        </is>
      </c>
    </row>
    <row r="47">
      <c r="A47" s="28" t="inlineStr">
        <is>
          <t>Packer differential rating</t>
        </is>
      </c>
      <c r="B47" s="31" t="n">
        <v>7500</v>
      </c>
      <c r="C47" s="30" t="inlineStr">
        <is>
          <t>psi</t>
        </is>
      </c>
      <c r="D47" s="32">
        <f>IFERROR($B$47*6.894757,NA())</f>
        <v/>
      </c>
      <c r="E47" s="30" t="inlineStr">
        <is>
          <t>kPa</t>
        </is>
      </c>
    </row>
    <row r="48">
      <c r="A48" s="28" t="inlineStr">
        <is>
          <t>Max expected differential (above-below)</t>
        </is>
      </c>
      <c r="B48" s="31" t="n">
        <v>5200</v>
      </c>
      <c r="C48" s="30" t="inlineStr">
        <is>
          <t>psi</t>
        </is>
      </c>
      <c r="D48" s="32">
        <f>IFERROR($B$48*6.894757,NA())</f>
        <v/>
      </c>
      <c r="E48" s="30" t="inlineStr">
        <is>
          <t>kPa</t>
        </is>
      </c>
    </row>
    <row r="49">
      <c r="A49" s="28" t="inlineStr">
        <is>
          <t>Packer temperature rating</t>
        </is>
      </c>
      <c r="B49" s="31" t="n">
        <v>300</v>
      </c>
      <c r="C49" s="30" t="inlineStr">
        <is>
          <t>degF</t>
        </is>
      </c>
      <c r="D49" s="32">
        <f>IFERROR(($B$49-32)/1.8,NA())</f>
        <v/>
      </c>
      <c r="E49" s="30" t="inlineStr">
        <is>
          <t>degC</t>
        </is>
      </c>
    </row>
    <row r="50">
      <c r="A50" s="28" t="inlineStr">
        <is>
          <t>Max expected temperature</t>
        </is>
      </c>
      <c r="B50" s="31" t="n">
        <v>250</v>
      </c>
      <c r="C50" s="30" t="inlineStr">
        <is>
          <t>degF</t>
        </is>
      </c>
      <c r="D50" s="32">
        <f>IFERROR(($B$50-32)/1.8,NA())</f>
        <v/>
      </c>
      <c r="E50" s="30" t="inlineStr">
        <is>
          <t>degC</t>
        </is>
      </c>
    </row>
    <row r="51">
      <c r="A51" s="28" t="inlineStr">
        <is>
          <t>Differential utilization</t>
        </is>
      </c>
      <c r="B51" s="54">
        <f>$B$48/$B$47*100</f>
        <v/>
      </c>
      <c r="C51" s="30" t="inlineStr">
        <is>
          <t>%</t>
        </is>
      </c>
    </row>
    <row r="52">
      <c r="A52" s="28" t="inlineStr">
        <is>
          <t>Differential status</t>
        </is>
      </c>
      <c r="B52" s="72">
        <f>IF($B$51&lt;=80,"OK - within differential rating",IF($B$51&lt;=100,"MARGINAL - above 80% of differential rating","CHECK: EXCEEDS packer differential rating"))</f>
        <v/>
      </c>
      <c r="C52" s="30" t="inlineStr"/>
    </row>
    <row r="53">
      <c r="A53" s="28" t="inlineStr">
        <is>
          <t>Temperature utilization</t>
        </is>
      </c>
      <c r="B53" s="54">
        <f>$B$50/$B$49*100</f>
        <v/>
      </c>
      <c r="C53" s="30" t="inlineStr">
        <is>
          <t>%</t>
        </is>
      </c>
    </row>
    <row r="54">
      <c r="A54" s="28" t="inlineStr">
        <is>
          <t>Temperature status</t>
        </is>
      </c>
      <c r="B54" s="72">
        <f>IF($B$53&lt;=80,"OK - within temperature rating",IF($B$53&lt;=100,"MARGINAL - above 80% of temperature rating","CHECK: EXCEEDS packer temperature rating"))</f>
        <v/>
      </c>
      <c r="C54" s="30" t="inlineStr"/>
      <c r="F54" s="27" t="inlineStr">
        <is>
          <t>Elastomer and slip ratings both derate with temperature - confirm element system for the expected life-of-well range.</t>
        </is>
      </c>
    </row>
    <row r="56" ht="20" customHeight="1">
      <c r="A56" s="23" t="inlineStr">
        <is>
          <t>Nipple Profile Ladder</t>
        </is>
      </c>
      <c r="B56" s="24" t="n"/>
      <c r="C56" s="24" t="n"/>
      <c r="D56" s="24" t="n"/>
      <c r="E56" s="24" t="n"/>
      <c r="F56" s="24" t="n"/>
    </row>
    <row r="58">
      <c r="A58" s="25" t="inlineStr">
        <is>
          <t>Nipple ID Step-Down Check</t>
        </is>
      </c>
      <c r="B58" s="26" t="n"/>
      <c r="C58" s="26" t="n"/>
      <c r="D58" s="26" t="n"/>
      <c r="E58" s="26" t="n"/>
      <c r="F58" s="49" t="inlineStr">
        <is>
          <t>Each nipple ID must be smaller than the one above</t>
        </is>
      </c>
    </row>
    <row r="59">
      <c r="A59" t="inlineStr"/>
      <c r="F59" s="27" t="inlineStr">
        <is>
          <t>No-go profiles land on the ID step; selective profiles allow same-size stacking but need selective running tools. Keep the largest possible IDs for future intervention access.</t>
        </is>
      </c>
    </row>
    <row r="60">
      <c r="A60" s="28" t="inlineStr">
        <is>
          <t>Nipple ID - top</t>
        </is>
      </c>
      <c r="B60" s="33" t="n">
        <v>2.813</v>
      </c>
      <c r="C60" s="30" t="inlineStr">
        <is>
          <t>in</t>
        </is>
      </c>
      <c r="D60" s="34">
        <f>IFERROR($B$60*25.4,NA())</f>
        <v/>
      </c>
      <c r="E60" s="30" t="inlineStr">
        <is>
          <t>mm</t>
        </is>
      </c>
    </row>
    <row r="61">
      <c r="A61" s="28" t="inlineStr">
        <is>
          <t>Nipple ID - upper-middle</t>
        </is>
      </c>
      <c r="B61" s="33" t="n">
        <v>2.75</v>
      </c>
      <c r="C61" s="30" t="inlineStr">
        <is>
          <t>in</t>
        </is>
      </c>
      <c r="D61" s="34">
        <f>IFERROR($B$61*25.4,NA())</f>
        <v/>
      </c>
      <c r="E61" s="30" t="inlineStr">
        <is>
          <t>mm</t>
        </is>
      </c>
    </row>
    <row r="62">
      <c r="A62" s="28" t="inlineStr">
        <is>
          <t>Nipple ID - lower-middle</t>
        </is>
      </c>
      <c r="B62" s="33" t="n">
        <v>2.688</v>
      </c>
      <c r="C62" s="30" t="inlineStr">
        <is>
          <t>in</t>
        </is>
      </c>
      <c r="D62" s="34">
        <f>IFERROR($B$62*25.4,NA())</f>
        <v/>
      </c>
      <c r="E62" s="30" t="inlineStr">
        <is>
          <t>mm</t>
        </is>
      </c>
    </row>
    <row r="63">
      <c r="A63" s="28" t="inlineStr">
        <is>
          <t>Nipple ID - bottom</t>
        </is>
      </c>
      <c r="B63" s="33" t="n">
        <v>2.562</v>
      </c>
      <c r="C63" s="30" t="inlineStr">
        <is>
          <t>in</t>
        </is>
      </c>
      <c r="D63" s="34">
        <f>IFERROR($B$63*25.4,NA())</f>
        <v/>
      </c>
      <c r="E63" s="30" t="inlineStr">
        <is>
          <t>mm</t>
        </is>
      </c>
    </row>
    <row r="64">
      <c r="A64" s="28" t="inlineStr">
        <is>
          <t>Ladder status</t>
        </is>
      </c>
      <c r="B64" s="72">
        <f>IF(AND($B$60&gt;$B$61,$B$61&gt;$B$62,$B$62&gt;$B$63),"OK - IDs step down toward bottom (through-tubing access preserved)","CHECK: nipple IDs do not step down - tools cannot pass")</f>
        <v/>
      </c>
      <c r="C64" s="30" t="inlineStr"/>
    </row>
    <row r="66" ht="20" customHeight="1">
      <c r="A66" s="23" t="inlineStr">
        <is>
          <t>Completion Running Notes</t>
        </is>
      </c>
      <c r="B66" s="24" t="n"/>
      <c r="C66" s="24" t="n"/>
      <c r="D66" s="24" t="n"/>
      <c r="E66" s="24" t="n"/>
      <c r="F66" s="24" t="n"/>
    </row>
    <row r="68">
      <c r="A68" s="25" t="inlineStr">
        <is>
          <t>Running Checklist</t>
        </is>
      </c>
      <c r="B68" s="26" t="n"/>
      <c r="C68" s="26" t="n"/>
      <c r="D68" s="26" t="n"/>
      <c r="E68" s="26" t="n"/>
      <c r="F68" s="26" t="n"/>
    </row>
    <row r="69">
      <c r="A69" t="inlineStr"/>
      <c r="F69" s="27" t="inlineStr">
        <is>
          <t>Free-text reminders - no calculations.</t>
        </is>
      </c>
    </row>
    <row r="70">
      <c r="A70" s="27" t="inlineStr">
        <is>
          <t>Running speed</t>
        </is>
      </c>
      <c r="F70" s="27" t="inlineStr">
        <is>
          <t>Reference the Trip Speed Schedule sheet for surge-safe running speeds - swab/surge limits apply to the completion too.</t>
        </is>
      </c>
    </row>
    <row r="71">
      <c r="A71" s="27" t="inlineStr">
        <is>
          <t>Drift &amp; crossovers</t>
        </is>
      </c>
      <c r="F71" s="27" t="inlineStr">
        <is>
          <t>Drift all tubulars on the pipe deck; count and log every crossover in the running tally.</t>
        </is>
      </c>
    </row>
    <row r="72">
      <c r="A72" s="27" t="inlineStr">
        <is>
          <t>TRSV function test</t>
        </is>
      </c>
      <c r="F72" s="27" t="inlineStr">
        <is>
          <t>Function-test the TRSV at surface and again after spacing out, before displacing to the packer fluid.</t>
        </is>
      </c>
    </row>
    <row r="73">
      <c r="A73" s="27" t="inlineStr">
        <is>
          <t>Well file</t>
        </is>
      </c>
      <c r="F73" s="27" t="inlineStr">
        <is>
          <t>Record the final space-out and landed weight for the well file - future workovers depend on them.</t>
        </is>
      </c>
    </row>
  </sheetData>
  <sheetProtection selectLockedCells="0" selectUnlockedCells="0" sheet="1" objects="0" insertRows="1" insertHyperlinks="1" autoFilter="1" scenarios="0" formatColumns="0" deleteColumns="1" insertColumns="1" pivotTables="1" deleteRows="1" formatCells="1" formatRows="0" sort="1"/>
  <mergeCells count="8">
    <mergeCell ref="A2:F2"/>
    <mergeCell ref="A33:F33"/>
    <mergeCell ref="A19:F19"/>
    <mergeCell ref="A66:F66"/>
    <mergeCell ref="A1:F1"/>
    <mergeCell ref="A6:F6"/>
    <mergeCell ref="A56:F56"/>
    <mergeCell ref="A43:F43"/>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37.xml><?xml version="1.0" encoding="utf-8"?>
<worksheet xmlns="http://schemas.openxmlformats.org/spreadsheetml/2006/main">
  <sheetPr>
    <tabColor rgb="00548235"/>
    <outlinePr summaryBelow="1" summaryRight="1"/>
    <pageSetUpPr/>
  </sheetPr>
  <dimension ref="A1:F77"/>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Advanced Completion Design</t>
        </is>
      </c>
      <c r="B1" s="2" t="n"/>
      <c r="C1" s="2" t="n"/>
      <c r="D1" s="2" t="n"/>
      <c r="E1" s="2" t="n"/>
      <c r="F1" s="2" t="n"/>
    </row>
    <row r="2">
      <c r="A2" s="20" t="inlineStr">
        <is>
          <t>Inflow control devices, interval control valves, multilateral junctions, injection thermal fatigue, APB mitigation, deep-set safety valves</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Inflow Control Devices (ICD)</t>
        </is>
      </c>
      <c r="B6" s="24" t="n"/>
      <c r="C6" s="24" t="n"/>
      <c r="D6" s="24" t="n"/>
      <c r="E6" s="24" t="n"/>
      <c r="F6" s="24" t="n"/>
    </row>
    <row r="8">
      <c r="A8" s="25" t="inlineStr">
        <is>
          <t>Nozzle ICD Pressure Drop per Joint</t>
        </is>
      </c>
      <c r="B8" s="26" t="n"/>
      <c r="C8" s="26" t="n"/>
      <c r="D8" s="26" t="n"/>
      <c r="E8" s="26" t="n"/>
      <c r="F8" s="49" t="inlineStr">
        <is>
          <t>dP_nozzle = 0.2369 x Q^2 x rho / (N^2 x d^4 x Cd^2)   [psi; Q bpm through the joint]</t>
        </is>
      </c>
    </row>
    <row r="9">
      <c r="A9" t="inlineStr"/>
      <c r="F9" s="27" t="inlineStr">
        <is>
          <t>Purpose is balancing heel-toe flux in horizontal wells: adding restriction at the heel evens out drawdown along the lateral and delays water/gas cresting. Verify the joint-by-joint nozzle distribution with reservoir simulation.</t>
        </is>
      </c>
    </row>
    <row r="10">
      <c r="A10" s="28" t="inlineStr">
        <is>
          <t>Rate per ICD joint</t>
        </is>
      </c>
      <c r="B10" s="33" t="n">
        <v>0.5</v>
      </c>
      <c r="C10" s="30" t="inlineStr">
        <is>
          <t>bbl/min</t>
        </is>
      </c>
      <c r="D10" s="34">
        <f>IFERROR($B$10*0.1589873,NA())</f>
        <v/>
      </c>
      <c r="E10" s="30" t="inlineStr">
        <is>
          <t>m3/min</t>
        </is>
      </c>
      <c r="F10" s="27" t="inlineStr">
        <is>
          <t>Approx = total target rate / number of ICD joints.</t>
        </is>
      </c>
    </row>
    <row r="11">
      <c r="A11" s="28" t="inlineStr">
        <is>
          <t>Fluid density</t>
        </is>
      </c>
      <c r="B11" s="35" t="n">
        <v>7.2</v>
      </c>
      <c r="C11" s="30" t="inlineStr">
        <is>
          <t>ppg</t>
        </is>
      </c>
      <c r="D11" s="36">
        <f>IFERROR($B$11*119.8264,NA())</f>
        <v/>
      </c>
      <c r="E11" s="30" t="inlineStr">
        <is>
          <t>kg/m3</t>
        </is>
      </c>
    </row>
    <row r="12">
      <c r="A12" s="28" t="inlineStr">
        <is>
          <t>Nozzles per joint</t>
        </is>
      </c>
      <c r="B12" s="31" t="n">
        <v>4</v>
      </c>
      <c r="C12" s="30" t="inlineStr"/>
    </row>
    <row r="13">
      <c r="A13" s="28" t="inlineStr">
        <is>
          <t>Nozzle diameter</t>
        </is>
      </c>
      <c r="B13" s="33" t="n">
        <v>0.25</v>
      </c>
      <c r="C13" s="30" t="inlineStr">
        <is>
          <t>in</t>
        </is>
      </c>
      <c r="D13" s="34">
        <f>IFERROR($B$13*25.4,NA())</f>
        <v/>
      </c>
      <c r="E13" s="30" t="inlineStr">
        <is>
          <t>mm</t>
        </is>
      </c>
    </row>
    <row r="14">
      <c r="A14" s="28" t="inlineStr">
        <is>
          <t>Discharge coefficient (Cd)</t>
        </is>
      </c>
      <c r="B14" s="41" t="n">
        <v>0.85</v>
      </c>
      <c r="C14" s="30" t="inlineStr"/>
      <c r="F14" s="27" t="inlineStr">
        <is>
          <t>0.80-0.90 typical for rounded ICD nozzles.</t>
        </is>
      </c>
    </row>
    <row r="15">
      <c r="A15" s="28" t="inlineStr">
        <is>
          <t>dP per joint at design rate</t>
        </is>
      </c>
      <c r="B15" s="60">
        <f>0.2369*$B$10^2*$B$11/($B$12^2*$B$13^4*$B$14^2)</f>
        <v/>
      </c>
      <c r="C15" s="30" t="inlineStr">
        <is>
          <t>psi</t>
        </is>
      </c>
      <c r="D15" s="61">
        <f>IFERROR($B$15*6.894757,NA())</f>
        <v/>
      </c>
      <c r="E15" s="30" t="inlineStr">
        <is>
          <t>kPa</t>
        </is>
      </c>
    </row>
    <row r="16">
      <c r="A16" s="28" t="inlineStr">
        <is>
          <t>ICD strength selection</t>
        </is>
      </c>
      <c r="B16" s="72">
        <f>IF($B$15&lt;1,"Low restriction - consider smaller nozzles for balancing",IF($B$15&lt;15,"OK - typical ICD design range 2-15 psi","CHECK: EXCEEDS typical ICD range - erosion/plugging risk"))</f>
        <v/>
      </c>
      <c r="C16" s="30" t="inlineStr"/>
    </row>
    <row r="18" ht="20" customHeight="1">
      <c r="A18" s="23" t="inlineStr">
        <is>
          <t>Interval Control Valves (ICV)</t>
        </is>
      </c>
      <c r="B18" s="24" t="n"/>
      <c r="C18" s="24" t="n"/>
      <c r="D18" s="24" t="n"/>
      <c r="E18" s="24" t="n"/>
      <c r="F18" s="24" t="n"/>
    </row>
    <row r="20">
      <c r="A20" s="25" t="inlineStr">
        <is>
          <t>ICV Trim Capacity - Liquid</t>
        </is>
      </c>
      <c r="B20" s="26" t="n"/>
      <c r="C20" s="26" t="n"/>
      <c r="D20" s="26" t="n"/>
      <c r="E20" s="26" t="n"/>
      <c r="F20" s="49" t="inlineStr">
        <is>
          <t>Q = Cv x sqrt(dP / SG)   [gpm, liquid]</t>
        </is>
      </c>
    </row>
    <row r="21">
      <c r="A21" t="inlineStr"/>
      <c r="F21" s="27" t="inlineStr">
        <is>
          <t>Cv from the vendor trim curve at the chosen choke position (multi-position or infinitely variable). Gas requires compressible-flow sizing (vendor software) - the liquid Cv equation is NOT valid for gas. Keep trim velocity below the vendor erosion limit, especially with any sand production - erosion of the trim destroys the choking characteristic.</t>
        </is>
      </c>
    </row>
    <row r="22">
      <c r="A22" s="28" t="inlineStr">
        <is>
          <t>Valve Cv at chosen position</t>
        </is>
      </c>
      <c r="B22" s="37" t="n">
        <v>25</v>
      </c>
      <c r="C22" s="30" t="inlineStr"/>
      <c r="F22" s="27" t="inlineStr">
        <is>
          <t>Vendor curve; full-open Cv is much higher.</t>
        </is>
      </c>
    </row>
    <row r="23">
      <c r="A23" s="28" t="inlineStr">
        <is>
          <t>dP across trim</t>
        </is>
      </c>
      <c r="B23" s="31" t="n">
        <v>150</v>
      </c>
      <c r="C23" s="30" t="inlineStr">
        <is>
          <t>psi</t>
        </is>
      </c>
      <c r="D23" s="32">
        <f>IFERROR($B$23*6.894757,NA())</f>
        <v/>
      </c>
      <c r="E23" s="30" t="inlineStr">
        <is>
          <t>kPa</t>
        </is>
      </c>
    </row>
    <row r="24">
      <c r="A24" s="28" t="inlineStr">
        <is>
          <t>Fluid SG</t>
        </is>
      </c>
      <c r="B24" s="33" t="n">
        <v>0.85</v>
      </c>
      <c r="C24" s="30" t="inlineStr"/>
    </row>
    <row r="25">
      <c r="A25" s="28" t="inlineStr">
        <is>
          <t>Liquid rate through valve</t>
        </is>
      </c>
      <c r="B25" s="60">
        <f>$B$22*SQRT($B$23/$B$24)</f>
        <v/>
      </c>
      <c r="C25" s="30" t="inlineStr">
        <is>
          <t>gpm</t>
        </is>
      </c>
      <c r="D25" s="61">
        <f>IFERROR($B$25*3.785412,NA())</f>
        <v/>
      </c>
      <c r="E25" s="30" t="inlineStr">
        <is>
          <t>L/min</t>
        </is>
      </c>
    </row>
    <row r="26">
      <c r="A26" s="28" t="inlineStr">
        <is>
          <t>Liquid rate through valve</t>
        </is>
      </c>
      <c r="B26" s="59">
        <f>$B$25*34.29</f>
        <v/>
      </c>
      <c r="C26" s="30" t="inlineStr">
        <is>
          <t>bpd</t>
        </is>
      </c>
      <c r="D26" s="32">
        <f>IFERROR($B$26*0.1589873,NA())</f>
        <v/>
      </c>
      <c r="E26" s="30" t="inlineStr">
        <is>
          <t>m3/d</t>
        </is>
      </c>
      <c r="F26" s="27" t="inlineStr">
        <is>
          <t>1 gpm = 34.29 bpd.</t>
        </is>
      </c>
    </row>
    <row r="28" ht="20" customHeight="1">
      <c r="A28" s="23" t="inlineStr">
        <is>
          <t>Multilateral Junction - TAML Classification</t>
        </is>
      </c>
      <c r="B28" s="24" t="n"/>
      <c r="C28" s="24" t="n"/>
      <c r="D28" s="24" t="n"/>
      <c r="E28" s="24" t="n"/>
      <c r="F28" s="24" t="n"/>
    </row>
    <row r="30">
      <c r="A30" s="25" t="inlineStr">
        <is>
          <t>TAML Level Screen</t>
        </is>
      </c>
      <c r="B30" s="26" t="n"/>
      <c r="C30" s="26" t="n"/>
      <c r="D30" s="26" t="n"/>
      <c r="E30" s="26" t="n"/>
      <c r="F30" s="26" t="n"/>
    </row>
    <row r="31">
      <c r="A31" t="inlineStr"/>
      <c r="F31" s="27" t="inlineStr">
        <is>
          <t>Enter 1/0 flags describing the junction as designed/built. TAML level rises with junction integrity (support, cement, hydraulic seal, pressure competence).</t>
        </is>
      </c>
    </row>
    <row r="32">
      <c r="A32" s="28" t="inlineStr">
        <is>
          <t>Junction mechanically supported (1/0)</t>
        </is>
      </c>
      <c r="B32" s="117" t="n">
        <v>1</v>
      </c>
      <c r="C32" s="30" t="inlineStr"/>
    </row>
    <row r="33">
      <c r="A33" s="28" t="inlineStr">
        <is>
          <t>Hydraulic seal at junction (1/0)</t>
        </is>
      </c>
      <c r="B33" s="117" t="n">
        <v>0</v>
      </c>
      <c r="C33" s="30" t="inlineStr"/>
    </row>
    <row r="34">
      <c r="A34" s="28" t="inlineStr">
        <is>
          <t>Cemented junction (1/0)</t>
        </is>
      </c>
      <c r="B34" s="117" t="n">
        <v>1</v>
      </c>
      <c r="C34" s="30" t="inlineStr"/>
    </row>
    <row r="35">
      <c r="A35" s="28" t="inlineStr">
        <is>
          <t>Pressure-competent at junction (1/0)</t>
        </is>
      </c>
      <c r="B35" s="117" t="n">
        <v>0</v>
      </c>
      <c r="C35" s="30" t="inlineStr"/>
    </row>
    <row r="36">
      <c r="A36" s="28" t="inlineStr">
        <is>
          <t>TAML level</t>
        </is>
      </c>
      <c r="B36" s="72">
        <f>IF($B$35=1,"TAML 5/6 - pressure-competent junction",IF($B$33=1,"TAML 4+ - cemented and sealed",IF($B$34=1,"TAML 3/4 - cemented junction, no pressure seal",IF($B$32=1,"TAML 2 - open hole with mechanical support","TAML 1 - open/unsupported junction"))))</f>
        <v/>
      </c>
      <c r="C36" s="30" t="inlineStr"/>
    </row>
    <row r="37">
      <c r="A37" s="27" t="inlineStr">
        <is>
          <t>Level trade-offs</t>
        </is>
      </c>
      <c r="F37" s="27" t="inlineStr">
        <is>
          <t>Cost and complexity rise steeply with TAML level. Low levels (1-2) are cheap but rely on competent rock at the junction and give no sand or pressure isolation; high levels (5-6) give full pressure integrity at the junction but need premium junction hardware, more trips and tight depth/orientation control. Choose the lowest level that meets junction-integrity and sand-exclusion needs over well life.</t>
        </is>
      </c>
    </row>
    <row r="38">
      <c r="A38" s="27" t="inlineStr">
        <is>
          <t>Re-entry access</t>
        </is>
      </c>
      <c r="F38" s="27" t="inlineStr">
        <is>
          <t>Plan lateral re-entry before choosing the junction: selective re-entry needs a deflector or orientation feature (latch coupling, whipstock ramp) and limits through-bore ID. Confirm intervention tools (CT/wireline trackers, kick-over) can reach each lateral, and record junction depth/orientation in the well file.</t>
        </is>
      </c>
    </row>
    <row r="40" ht="20" customHeight="1">
      <c r="A40" s="23" t="inlineStr">
        <is>
          <t>Injection Thermal Cycling Fatigue Screen</t>
        </is>
      </c>
      <c r="B40" s="24" t="n"/>
      <c r="C40" s="24" t="n"/>
      <c r="D40" s="24" t="n"/>
      <c r="E40" s="24" t="n"/>
      <c r="F40" s="24" t="n"/>
    </row>
    <row r="42">
      <c r="A42" s="25" t="inlineStr">
        <is>
          <t>Constrained Thermal Stress &amp; Cycle Count</t>
        </is>
      </c>
      <c r="B42" s="26" t="n"/>
      <c r="C42" s="26" t="n"/>
      <c r="D42" s="26" t="n"/>
      <c r="E42" s="26" t="n"/>
      <c r="F42" s="49" t="inlineStr">
        <is>
          <t>sigma_thermal = 207 x dT   [psi, fully-constrained steel]</t>
        </is>
      </c>
    </row>
    <row r="43">
      <c r="A43" t="inlineStr"/>
      <c r="F43" s="27" t="inlineStr">
        <is>
          <t>207 psi/degF = E x alpha for steel (~30e6 psi x 6.9e-6 /degF), fully constrained - a conservative upper bound for anchored tubing. Screening only; a stress range above the limit calls for a proper S-N (fatigue) assessment.</t>
        </is>
      </c>
    </row>
    <row r="44">
      <c r="A44" s="28" t="inlineStr">
        <is>
          <t>Injection/shut-in temperature swing (dT)</t>
        </is>
      </c>
      <c r="B44" s="31" t="n">
        <v>120</v>
      </c>
      <c r="C44" s="30" t="inlineStr">
        <is>
          <t>degF</t>
        </is>
      </c>
      <c r="F44" s="27" t="inlineStr">
        <is>
          <t>Cold injection vs shut-in (geothermal) temperature at the critical depth.</t>
        </is>
      </c>
    </row>
    <row r="45">
      <c r="A45" s="28" t="inlineStr">
        <is>
          <t>Cycles per year</t>
        </is>
      </c>
      <c r="B45" s="31" t="n">
        <v>52</v>
      </c>
      <c r="C45" s="30" t="inlineStr"/>
    </row>
    <row r="46">
      <c r="A46" s="28" t="inlineStr">
        <is>
          <t>Design life</t>
        </is>
      </c>
      <c r="B46" s="31" t="n">
        <v>20</v>
      </c>
      <c r="C46" s="30" t="inlineStr">
        <is>
          <t>yr</t>
        </is>
      </c>
    </row>
    <row r="47">
      <c r="A47" s="28" t="inlineStr">
        <is>
          <t>Endurance limit</t>
        </is>
      </c>
      <c r="B47" s="31" t="n">
        <v>30000</v>
      </c>
      <c r="C47" s="30" t="inlineStr">
        <is>
          <t>psi</t>
        </is>
      </c>
      <c r="D47" s="32">
        <f>IFERROR($B$47*6.894757,NA())</f>
        <v/>
      </c>
      <c r="E47" s="30" t="inlineStr">
        <is>
          <t>kPa</t>
        </is>
      </c>
      <c r="F47" s="27" t="inlineStr">
        <is>
          <t>Smooth-specimen carbon steel in air ~0.5 x UTS. Sour/corrosive service lowers this sharply - corrosion fatigue has no true endurance limit.</t>
        </is>
      </c>
    </row>
    <row r="48">
      <c r="A48" s="28" t="inlineStr">
        <is>
          <t>Constrained thermal stress range</t>
        </is>
      </c>
      <c r="B48" s="59">
        <f>207*$B$44</f>
        <v/>
      </c>
      <c r="C48" s="30" t="inlineStr">
        <is>
          <t>psi</t>
        </is>
      </c>
      <c r="D48" s="32">
        <f>IFERROR($B$48*6.894757,NA())</f>
        <v/>
      </c>
      <c r="E48" s="30" t="inlineStr">
        <is>
          <t>kPa</t>
        </is>
      </c>
    </row>
    <row r="49">
      <c r="A49" s="28" t="inlineStr">
        <is>
          <t>Total cycles over design life</t>
        </is>
      </c>
      <c r="B49" s="59">
        <f>$B$45*$B$46</f>
        <v/>
      </c>
      <c r="C49" s="30" t="inlineStr"/>
    </row>
    <row r="50">
      <c r="A50" s="28" t="inlineStr">
        <is>
          <t>Fatigue screen</t>
        </is>
      </c>
      <c r="B50" s="72">
        <f>IF($B$48&lt;$B$47,"OK - below endurance limit (infinite life screening)",IF($B$48&lt;1.5*$B$47,"MARGINAL - finite life - run S-N assessment","CHECK: EXCEEDS fatigue screening limit - expansion device or premium design"))</f>
        <v/>
      </c>
      <c r="C50" s="30" t="inlineStr"/>
    </row>
    <row r="52" ht="20" customHeight="1">
      <c r="A52" s="23" t="inlineStr">
        <is>
          <t>APB with Compliance &amp; Gas Cushion (improves the rigid estimate)</t>
        </is>
      </c>
      <c r="B52" s="24" t="n"/>
      <c r="C52" s="24" t="n"/>
      <c r="D52" s="24" t="n"/>
      <c r="E52" s="24" t="n"/>
      <c r="F52" s="24" t="n"/>
    </row>
    <row r="54">
      <c r="A54" s="25" t="inlineStr">
        <is>
          <t>Compliant APB &amp; Gas Cushion Mitigation</t>
        </is>
      </c>
      <c r="B54" s="26" t="n"/>
      <c r="C54" s="26" t="n"/>
      <c r="D54" s="26" t="n"/>
      <c r="E54" s="26" t="n"/>
      <c r="F54" s="49" t="inlineStr">
        <is>
          <t>APB_compliant = APB_rigid x C;   dP_cushion = P1 x ( 1/(1 - alpha_v x dT / fg) - 1 )   [isothermal ideal gas]</t>
        </is>
      </c>
    </row>
    <row r="55">
      <c r="A55" t="inlineStr"/>
      <c r="F55" s="27" t="inlineStr">
        <is>
          <t>The rigid estimate assumes a perfectly stiff sealed annulus; real casing balloons and adjacent fluid systems share the expansion (compliance factor C). A nitrogen gas cushion at the top of the annulus absorbs the heated-fluid expansion. Burst disks or crushable foam wrap are alternatives where a cushion cannot be placed or maintained (e.g. cemented-to-surface annuli).</t>
        </is>
      </c>
    </row>
    <row r="56">
      <c r="A56" s="28" t="inlineStr">
        <is>
          <t>Rigid APB estimate</t>
        </is>
      </c>
      <c r="B56" s="31" t="n">
        <v>3333</v>
      </c>
      <c r="C56" s="30" t="inlineStr">
        <is>
          <t>psi</t>
        </is>
      </c>
      <c r="D56" s="32">
        <f>IFERROR($B$56*6.894757,NA())</f>
        <v/>
      </c>
      <c r="E56" s="30" t="inlineStr">
        <is>
          <t>kPa</t>
        </is>
      </c>
      <c r="F56" s="27" t="inlineStr">
        <is>
          <t>From Tubing Stress Analysis sheet.</t>
        </is>
      </c>
    </row>
    <row r="57">
      <c r="A57" s="28" t="inlineStr">
        <is>
          <t>Annulus compliance factor</t>
        </is>
      </c>
      <c r="B57" s="41" t="n">
        <v>0.4</v>
      </c>
      <c r="C57" s="30" t="inlineStr"/>
      <c r="F57" s="27" t="inlineStr">
        <is>
          <t>0.25-0.6 typical - casing balloon + fluid systems share the expansion.</t>
        </is>
      </c>
    </row>
    <row r="58">
      <c r="A58" s="28" t="inlineStr">
        <is>
          <t>Initial annulus pressure</t>
        </is>
      </c>
      <c r="B58" s="31" t="n">
        <v>500</v>
      </c>
      <c r="C58" s="30" t="inlineStr">
        <is>
          <t>psia</t>
        </is>
      </c>
      <c r="D58" s="32">
        <f>IFERROR($B$58*6.894757,NA())</f>
        <v/>
      </c>
      <c r="E58" s="30" t="inlineStr">
        <is>
          <t>kPa</t>
        </is>
      </c>
    </row>
    <row r="59">
      <c r="A59" s="28" t="inlineStr">
        <is>
          <t>Fluid thermal expansion coeff (alpha_v)</t>
        </is>
      </c>
      <c r="B59" s="62" t="n">
        <v>0.00025</v>
      </c>
      <c r="C59" s="30" t="inlineStr">
        <is>
          <t>1/degF</t>
        </is>
      </c>
    </row>
    <row r="60">
      <c r="A60" s="28" t="inlineStr">
        <is>
          <t>Annulus temperature rise (dT)</t>
        </is>
      </c>
      <c r="B60" s="31" t="n">
        <v>40</v>
      </c>
      <c r="C60" s="30" t="inlineStr">
        <is>
          <t>degF</t>
        </is>
      </c>
    </row>
    <row r="61">
      <c r="A61" s="28" t="inlineStr">
        <is>
          <t>Gas cushion fraction (fg)</t>
        </is>
      </c>
      <c r="B61" s="33" t="n">
        <v>0.05</v>
      </c>
      <c r="C61" s="30" t="inlineStr"/>
      <c r="F61" s="27" t="inlineStr">
        <is>
          <t>Gas volume / annulus volume, placed at the top of the annulus (5% = 0.05).</t>
        </is>
      </c>
    </row>
    <row r="62">
      <c r="A62" s="28" t="inlineStr">
        <is>
          <t>Compliant APB</t>
        </is>
      </c>
      <c r="B62" s="59">
        <f>$B$56*$B$57</f>
        <v/>
      </c>
      <c r="C62" s="30" t="inlineStr">
        <is>
          <t>psi</t>
        </is>
      </c>
      <c r="D62" s="32">
        <f>IFERROR($B$62*6.894757,NA())</f>
        <v/>
      </c>
      <c r="E62" s="30" t="inlineStr">
        <is>
          <t>kPa</t>
        </is>
      </c>
      <c r="F62" s="27" t="inlineStr">
        <is>
          <t>Rigid estimate x compliance factor.</t>
        </is>
      </c>
    </row>
    <row r="63">
      <c r="A63" s="28" t="inlineStr">
        <is>
          <t>APB with gas cushion</t>
        </is>
      </c>
      <c r="B63" s="59">
        <f>IF($B$61&lt;=$B$59*$B$60,NA(),$B$58*(1/(1-$B$59*$B$60/$B$61)-1))</f>
        <v/>
      </c>
      <c r="C63" s="30" t="inlineStr">
        <is>
          <t>psi</t>
        </is>
      </c>
      <c r="D63" s="32">
        <f>IFERROR($B$63*6.894757,NA())</f>
        <v/>
      </c>
      <c r="E63" s="30" t="inlineStr">
        <is>
          <t>kPa</t>
        </is>
      </c>
      <c r="F63" s="27" t="inlineStr">
        <is>
          <t>Isothermal ideal-gas compression of the cushion by the expanding liquid.</t>
        </is>
      </c>
    </row>
    <row r="64">
      <c r="A64" s="28" t="inlineStr">
        <is>
          <t>Gas cushion status</t>
        </is>
      </c>
      <c r="B64" s="72">
        <f>IF($B$61&lt;=$B$59*$B$60,"CHECK: cushion too small - gas fully compressed","OK - cushion absorbs the fluid expansion")</f>
        <v/>
      </c>
      <c r="C64" s="30" t="inlineStr"/>
    </row>
    <row r="65">
      <c r="A65" s="28" t="inlineStr">
        <is>
          <t>Best mitigated APB (min of options)</t>
        </is>
      </c>
      <c r="B65" s="59">
        <f>IF($B$61&lt;=$B$59*$B$60,$B$62,MIN($B$62,$B$63))</f>
        <v/>
      </c>
      <c r="C65" s="30" t="inlineStr">
        <is>
          <t>psi</t>
        </is>
      </c>
      <c r="D65" s="32">
        <f>IFERROR($B$65*6.894757,NA())</f>
        <v/>
      </c>
      <c r="E65" s="30" t="inlineStr">
        <is>
          <t>kPa</t>
        </is>
      </c>
      <c r="F65" s="27" t="inlineStr">
        <is>
          <t>Lower of the compliance-corrected and gas-cushion estimates. Confirm the governing mechanism with a full multi-string APB model before relying on it.</t>
        </is>
      </c>
    </row>
    <row r="67" ht="20" customHeight="1">
      <c r="A67" s="23" t="inlineStr">
        <is>
          <t>Deep-Set Safety Valve Design</t>
        </is>
      </c>
      <c r="B67" s="24" t="n"/>
      <c r="C67" s="24" t="n"/>
      <c r="D67" s="24" t="n"/>
      <c r="E67" s="24" t="n"/>
      <c r="F67" s="24" t="n"/>
    </row>
    <row r="69">
      <c r="A69" s="25" t="inlineStr">
        <is>
          <t>Control Line Hydrostatic &amp; Valve Type</t>
        </is>
      </c>
      <c r="B69" s="26" t="n"/>
      <c r="C69" s="26" t="n"/>
      <c r="D69" s="26" t="n"/>
      <c r="E69" s="26" t="n"/>
      <c r="F69" s="49" t="inlineStr">
        <is>
          <t>P_cl = 0.433 x SG x depth   [psi]</t>
        </is>
      </c>
    </row>
    <row r="70">
      <c r="A70" t="inlineStr"/>
      <c r="F70" s="27" t="inlineStr">
        <is>
          <t>Conventional spring-only SCSSVs are typically limited to roughly 1,000-2,000 ft setting depth: control-line hydrostatic acting on the piston can overcome the closure spring and hold the valve open. Deep-set valves need a balance line or a nitrogen dome charge to compensate. Also check slam-closure loads at maximum flow rate, and always equalize across the flapper before reopening (self-equalizing flapper or apply pressure from above).</t>
        </is>
      </c>
    </row>
    <row r="71">
      <c r="A71" s="28" t="inlineStr">
        <is>
          <t>Setting depth</t>
        </is>
      </c>
      <c r="B71" s="31" t="n">
        <v>4500</v>
      </c>
      <c r="C71" s="30" t="inlineStr">
        <is>
          <t>ft</t>
        </is>
      </c>
      <c r="D71" s="32">
        <f>IFERROR($B$71*0.3048,NA())</f>
        <v/>
      </c>
      <c r="E71" s="30" t="inlineStr">
        <is>
          <t>m</t>
        </is>
      </c>
    </row>
    <row r="72">
      <c r="A72" s="28" t="inlineStr">
        <is>
          <t>Control fluid SG</t>
        </is>
      </c>
      <c r="B72" s="33" t="n">
        <v>1.02</v>
      </c>
      <c r="C72" s="30" t="inlineStr"/>
    </row>
    <row r="73">
      <c r="A73" s="28" t="inlineStr">
        <is>
          <t>Spring closure pressure margin</t>
        </is>
      </c>
      <c r="B73" s="31" t="n">
        <v>350</v>
      </c>
      <c r="C73" s="30" t="inlineStr">
        <is>
          <t>psi</t>
        </is>
      </c>
      <c r="D73" s="32">
        <f>IFERROR($B$73*6.894757,NA())</f>
        <v/>
      </c>
      <c r="E73" s="30" t="inlineStr">
        <is>
          <t>kPa</t>
        </is>
      </c>
      <c r="F73" s="27" t="inlineStr">
        <is>
          <t>Spring force (expressed as pressure on the piston) available to close against control-line hydrostatic.</t>
        </is>
      </c>
    </row>
    <row r="74">
      <c r="A74" s="28" t="inlineStr">
        <is>
          <t>Nitrogen dome charged (1/0)</t>
        </is>
      </c>
      <c r="B74" s="117" t="n">
        <v>1</v>
      </c>
      <c r="C74" s="30" t="inlineStr"/>
    </row>
    <row r="75">
      <c r="A75" s="28" t="inlineStr">
        <is>
          <t>Control line hydrostatic at valve</t>
        </is>
      </c>
      <c r="B75" s="59">
        <f>0.433*$B$72*$B$71</f>
        <v/>
      </c>
      <c r="C75" s="30" t="inlineStr">
        <is>
          <t>psi</t>
        </is>
      </c>
      <c r="D75" s="32">
        <f>IFERROR($B$75*6.894757,NA())</f>
        <v/>
      </c>
      <c r="E75" s="30" t="inlineStr">
        <is>
          <t>kPa</t>
        </is>
      </c>
    </row>
    <row r="76">
      <c r="A76" s="28" t="inlineStr">
        <is>
          <t>Spring-only max setting depth (guide)</t>
        </is>
      </c>
      <c r="B76" s="59">
        <f>$B$73/(0.433*$B$72)</f>
        <v/>
      </c>
      <c r="C76" s="30" t="inlineStr">
        <is>
          <t>ft</t>
        </is>
      </c>
      <c r="D76" s="32">
        <f>IFERROR($B$76*0.3048,NA())</f>
        <v/>
      </c>
      <c r="E76" s="30" t="inlineStr">
        <is>
          <t>m</t>
        </is>
      </c>
      <c r="F76" s="27" t="inlineStr">
        <is>
          <t>Depth at which control-line hydrostatic consumes the spring margin - beyond this a spring-only valve may fail to close.</t>
        </is>
      </c>
    </row>
    <row r="77">
      <c r="A77" s="28" t="inlineStr">
        <is>
          <t>Hydrostatic compensation check</t>
        </is>
      </c>
      <c r="B77" s="72">
        <f>IF($B$74=1,"Nitrogen-charged or balance-line valve - hydrostatic compensated; verify charge at depth temperature","CHECK: spring-only valve at depth - hydrostatic may hold valve open; balance line or dome charge required")</f>
        <v/>
      </c>
      <c r="C77" s="30" t="inlineStr"/>
    </row>
  </sheetData>
  <sheetProtection selectLockedCells="0" selectUnlockedCells="0" sheet="1" objects="0" insertRows="1" insertHyperlinks="1" autoFilter="1" scenarios="0" formatColumns="0" deleteColumns="1" insertColumns="1" pivotTables="1" deleteRows="1" formatCells="1" formatRows="0" sort="1"/>
  <mergeCells count="8">
    <mergeCell ref="A2:F2"/>
    <mergeCell ref="A52:F52"/>
    <mergeCell ref="A28:F28"/>
    <mergeCell ref="A1:F1"/>
    <mergeCell ref="A67:F67"/>
    <mergeCell ref="A6:F6"/>
    <mergeCell ref="A40:F40"/>
    <mergeCell ref="A18:F18"/>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38.xml><?xml version="1.0" encoding="utf-8"?>
<worksheet xmlns="http://schemas.openxmlformats.org/spreadsheetml/2006/main">
  <sheetPr>
    <tabColor rgb="00548235"/>
    <outlinePr summaryBelow="1" summaryRight="1"/>
    <pageSetUpPr fitToPage="1"/>
  </sheetPr>
  <dimension ref="A1:F50"/>
  <sheetViews>
    <sheetView showGridLines="0" workbookViewId="0">
      <pane ySplit="4" topLeftCell="A5" activePane="bottomLeft" state="frozen"/>
      <selection pane="bottomLeft" activeCell="A1" sqref="A1"/>
    </sheetView>
  </sheetViews>
  <sheetFormatPr baseColWidth="8" defaultRowHeight="15"/>
  <cols>
    <col width="7" customWidth="1" min="1" max="1"/>
    <col width="30" customWidth="1" min="2" max="2"/>
    <col width="30" customWidth="1" min="3" max="3"/>
    <col width="30" customWidth="1" min="4" max="4"/>
    <col width="9" customWidth="1" min="5" max="5"/>
    <col width="9" customWidth="1" min="6" max="6"/>
  </cols>
  <sheetData>
    <row r="1" ht="26" customHeight="1">
      <c r="A1" s="19" t="inlineStr">
        <is>
          <t>Completion Procedure - Template Builder</t>
        </is>
      </c>
      <c r="B1" s="2" t="n"/>
      <c r="C1" s="2" t="n"/>
      <c r="D1" s="2" t="n"/>
      <c r="E1" s="2" t="n"/>
      <c r="F1" s="2" t="n"/>
    </row>
    <row r="2">
      <c r="A2" s="20" t="inlineStr">
        <is>
          <t>Step text pulls live values from Well Data (WD_* names) - edit every step against the approved program before use</t>
        </is>
      </c>
      <c r="B2" s="2" t="n"/>
      <c r="C2" s="2" t="n"/>
      <c r="D2" s="2" t="n"/>
      <c r="E2" s="2" t="n"/>
      <c r="F2" s="2" t="n"/>
    </row>
    <row r="4">
      <c r="A4" s="104" t="inlineStr">
        <is>
          <t>Step</t>
        </is>
      </c>
      <c r="B4" s="66" t="inlineStr">
        <is>
          <t>Description (yellow = editable text)</t>
        </is>
      </c>
      <c r="C4" s="105" t="n"/>
      <c r="D4" s="106" t="n"/>
      <c r="E4" s="104" t="inlineStr">
        <is>
          <t>Est. hrs</t>
        </is>
      </c>
      <c r="F4" s="104" t="inlineStr">
        <is>
          <t>Initials</t>
        </is>
      </c>
    </row>
    <row r="5">
      <c r="A5" s="28" t="inlineStr">
        <is>
          <t>Well</t>
        </is>
      </c>
      <c r="B5" s="107">
        <f>WD_Well</f>
        <v/>
      </c>
      <c r="C5" s="108" t="n"/>
      <c r="D5" s="28" t="inlineStr">
        <is>
          <t>Prepared by</t>
        </is>
      </c>
      <c r="E5" s="109" t="inlineStr"/>
      <c r="F5" s="110" t="n"/>
    </row>
    <row r="6">
      <c r="A6" s="28" t="inlineStr">
        <is>
          <t>Field</t>
        </is>
      </c>
      <c r="B6" s="107">
        <f>WD_Field</f>
        <v/>
      </c>
      <c r="C6" s="108" t="n"/>
      <c r="D6" s="28" t="inlineStr">
        <is>
          <t>Date</t>
        </is>
      </c>
      <c r="E6" s="109" t="inlineStr"/>
      <c r="F6" s="110" t="n"/>
    </row>
    <row r="7">
      <c r="A7" s="28" t="inlineStr">
        <is>
          <t>Rig</t>
        </is>
      </c>
      <c r="B7" s="107">
        <f>WD_Rig</f>
        <v/>
      </c>
      <c r="C7" s="108" t="n"/>
      <c r="D7" s="28" t="inlineStr">
        <is>
          <t>Revision</t>
        </is>
      </c>
      <c r="E7" s="109" t="inlineStr"/>
      <c r="F7" s="110" t="n"/>
    </row>
    <row r="8">
      <c r="A8" s="111" t="inlineStr">
        <is>
          <t>Template procedure - review and edit every step against the program, permits and MOC before use.</t>
        </is>
      </c>
    </row>
    <row r="10" ht="20" customHeight="1">
      <c r="A10" s="23" t="inlineStr">
        <is>
          <t>A. Wellbore Preparation</t>
        </is>
      </c>
      <c r="B10" s="24" t="n"/>
      <c r="C10" s="24" t="n"/>
      <c r="D10" s="24" t="n"/>
      <c r="E10" s="24" t="n"/>
      <c r="F10" s="24" t="n"/>
    </row>
    <row r="11" ht="30" customHeight="1">
      <c r="A11" s="112" t="n">
        <v>1</v>
      </c>
      <c r="B11" s="113" t="inlineStr">
        <is>
          <t>Hold pre-job meeting; confirm completion program, permits, MOC register and barrier plan with all crews.</t>
        </is>
      </c>
      <c r="C11" s="110" t="n"/>
      <c r="D11" s="110" t="n"/>
      <c r="E11" s="37" t="n">
        <v>2</v>
      </c>
      <c r="F11" s="114" t="n"/>
    </row>
    <row r="12" ht="30" customHeight="1">
      <c r="A12" s="112" t="n">
        <v>2</v>
      </c>
      <c r="B12" s="113" t="inlineStr">
        <is>
          <t>Displace wellbore to filtered completion brine per the Completion Fluids sheet; density and inhibition package per program.</t>
        </is>
      </c>
      <c r="C12" s="110" t="n"/>
      <c r="D12" s="110" t="n"/>
      <c r="E12" s="37" t="n">
        <v>8</v>
      </c>
      <c r="F12" s="114" t="n"/>
    </row>
    <row r="13" ht="30" customHeight="1">
      <c r="A13" s="112" t="n">
        <v>3</v>
      </c>
      <c r="B13" s="113">
        <f>"Run casing scraper and junk basket to "&amp;TEXT(WD_MD,"#,##0")&amp;" ft MD; work through liner top and nipple depths; recover and inspect junk basket contents."</f>
        <v/>
      </c>
      <c r="C13" s="110" t="n"/>
      <c r="D13" s="110" t="n"/>
      <c r="E13" s="37" t="n">
        <v>10</v>
      </c>
      <c r="F13" s="114" t="n"/>
    </row>
    <row r="14" ht="30" customHeight="1">
      <c r="A14" s="112" t="n">
        <v>4</v>
      </c>
      <c r="B14" s="113" t="inlineStr">
        <is>
          <t>Circulate a minimum of two wellbore volumes; filter returns until turbidity meets program specification (typically &lt; 20 NTU) before running the completion.</t>
        </is>
      </c>
      <c r="C14" s="110" t="n"/>
      <c r="D14" s="110" t="n"/>
      <c r="E14" s="37" t="n">
        <v>6</v>
      </c>
      <c r="F14" s="114" t="n"/>
    </row>
    <row r="15" ht="30" customHeight="1">
      <c r="A15" s="112" t="n">
        <v>5</v>
      </c>
      <c r="B15" s="113" t="inlineStr">
        <is>
          <t>Pressure test casing / liner lap per program; record charts in the completion file.</t>
        </is>
      </c>
      <c r="C15" s="110" t="n"/>
      <c r="D15" s="110" t="n"/>
      <c r="E15" s="37" t="n">
        <v>3</v>
      </c>
      <c r="F15" s="114" t="n"/>
    </row>
    <row r="17" ht="20" customHeight="1">
      <c r="A17" s="23" t="inlineStr">
        <is>
          <t>B. Lower Completion</t>
        </is>
      </c>
      <c r="B17" s="24" t="n"/>
      <c r="C17" s="24" t="n"/>
      <c r="D17" s="24" t="n"/>
      <c r="E17" s="24" t="n"/>
      <c r="F17" s="24" t="n"/>
    </row>
    <row r="18" ht="30" customHeight="1">
      <c r="A18" s="112" t="n">
        <v>6</v>
      </c>
      <c r="B18" s="113" t="inlineStr">
        <is>
          <t>Make up and RIH lower completion (screens / liner) per the Completion Design sheet gravel and screen selection; do not rotate through the build section unless the program allows.</t>
        </is>
      </c>
      <c r="C18" s="110" t="n"/>
      <c r="D18" s="110" t="n"/>
      <c r="E18" s="37" t="n">
        <v>12</v>
      </c>
      <c r="F18" s="114" t="n"/>
    </row>
    <row r="19" ht="30" customHeight="1">
      <c r="A19" s="112" t="n">
        <v>7</v>
      </c>
      <c r="B19" s="113" t="inlineStr">
        <is>
          <t>Set liner hanger / sump packer at program depth; verify set-down weight and pressure test the setting.</t>
        </is>
      </c>
      <c r="C19" s="110" t="n"/>
      <c r="D19" s="110" t="n"/>
      <c r="E19" s="37" t="n">
        <v>4</v>
      </c>
      <c r="F19" s="114" t="n"/>
    </row>
    <row r="20" ht="30" customHeight="1">
      <c r="A20" s="112" t="n">
        <v>8</v>
      </c>
      <c r="B20" s="113" t="inlineStr">
        <is>
          <t>Perform gravel pack per the Completion Design sheet pumping schedule; record rates, pressures and returns throughout.</t>
        </is>
      </c>
      <c r="C20" s="110" t="n"/>
      <c r="D20" s="110" t="n"/>
      <c r="E20" s="37" t="n">
        <v>8</v>
      </c>
      <c r="F20" s="114" t="n"/>
    </row>
    <row r="21" ht="30" customHeight="1">
      <c r="A21" s="112" t="n">
        <v>9</v>
      </c>
      <c r="B21" s="113" t="inlineStr">
        <is>
          <t>Reverse out excess carrier fluid; confirm full screen coverage from pump-in / returns behavior.</t>
        </is>
      </c>
      <c r="C21" s="110" t="n"/>
      <c r="D21" s="110" t="n"/>
      <c r="E21" s="37" t="n">
        <v>4</v>
      </c>
      <c r="F21" s="114" t="n"/>
    </row>
    <row r="22" ht="30" customHeight="1">
      <c r="A22" s="112" t="n">
        <v>10</v>
      </c>
      <c r="B22" s="113" t="inlineStr">
        <is>
          <t>Inflow test the lower completion barrier; monitor for a stabilized response per program acceptance criteria.</t>
        </is>
      </c>
      <c r="C22" s="110" t="n"/>
      <c r="D22" s="110" t="n"/>
      <c r="E22" s="37" t="n">
        <v>4</v>
      </c>
      <c r="F22" s="114" t="n"/>
    </row>
    <row r="24" ht="20" customHeight="1">
      <c r="A24" s="23" t="inlineStr">
        <is>
          <t>C. Upper Completion</t>
        </is>
      </c>
      <c r="B24" s="24" t="n"/>
      <c r="C24" s="24" t="n"/>
      <c r="D24" s="24" t="n"/>
      <c r="E24" s="24" t="n"/>
      <c r="F24" s="24" t="n"/>
    </row>
    <row r="25" ht="30" customHeight="1">
      <c r="A25" s="112" t="n">
        <v>11</v>
      </c>
      <c r="B25" s="113">
        <f>"RIH "&amp;TEXT(WD_TbgOD,"0.000")&amp;" in OD x "&amp;TEXT(WD_TbgID,"0.000")&amp;" in ID production tubing; drift every joint and torque connections per the connection data sheet."</f>
        <v/>
      </c>
      <c r="C25" s="110" t="n"/>
      <c r="D25" s="110" t="n"/>
      <c r="E25" s="37" t="n">
        <v>18</v>
      </c>
      <c r="F25" s="114" t="n"/>
    </row>
    <row r="26" ht="30" customHeight="1">
      <c r="A26" s="112" t="n">
        <v>12</v>
      </c>
      <c r="B26" s="113" t="inlineStr">
        <is>
          <t>Install control line(s) with protectors at every coupling; pressure test the control line at intervals per the Completion Equipment sheet.</t>
        </is>
      </c>
      <c r="C26" s="110" t="n"/>
      <c r="D26" s="110" t="n"/>
      <c r="E26" s="37" t="n"/>
      <c r="F26" s="114" t="n"/>
    </row>
    <row r="27" ht="30" customHeight="1">
      <c r="A27" s="112" t="n">
        <v>13</v>
      </c>
      <c r="B27" s="113" t="inlineStr">
        <is>
          <t>Space out per the Completion Equipment sheet seal stroke calculation; confirm sting-in depth and available stroke.</t>
        </is>
      </c>
      <c r="C27" s="110" t="n"/>
      <c r="D27" s="110" t="n"/>
      <c r="E27" s="37" t="n">
        <v>3</v>
      </c>
      <c r="F27" s="114" t="n"/>
    </row>
    <row r="28" ht="30" customHeight="1">
      <c r="A28" s="112" t="n">
        <v>14</v>
      </c>
      <c r="B28" s="113">
        <f>"Set production packer above the perforations (top perf at "&amp;TEXT(WD_PerfTVD,"#,##0")&amp;" ft TVD) per the running procedure; verify set with tubing pick-up / slack-off."</f>
        <v/>
      </c>
      <c r="C28" s="110" t="n"/>
      <c r="D28" s="110" t="n"/>
      <c r="E28" s="37" t="n">
        <v>4</v>
      </c>
      <c r="F28" s="114" t="n"/>
    </row>
    <row r="29" ht="30" customHeight="1">
      <c r="A29" s="112" t="n">
        <v>15</v>
      </c>
      <c r="B29" s="113" t="inlineStr">
        <is>
          <t>Land and lock down tubing hanger; verify hanger neck seal test.</t>
        </is>
      </c>
      <c r="C29" s="110" t="n"/>
      <c r="D29" s="110" t="n"/>
      <c r="E29" s="37" t="n">
        <v>3</v>
      </c>
      <c r="F29" s="114" t="n"/>
    </row>
    <row r="30" ht="30" customHeight="1">
      <c r="A30" s="112" t="n">
        <v>16</v>
      </c>
      <c r="B30" s="113" t="inlineStr">
        <is>
          <t>Pressure test the A-annulus against the packer per program; record charts.</t>
        </is>
      </c>
      <c r="C30" s="110" t="n"/>
      <c r="D30" s="110" t="n"/>
      <c r="E30" s="37" t="n">
        <v>3</v>
      </c>
      <c r="F30" s="114" t="n"/>
    </row>
    <row r="32" ht="20" customHeight="1">
      <c r="A32" s="23" t="inlineStr">
        <is>
          <t>D. TRSV &amp; Surface</t>
        </is>
      </c>
      <c r="B32" s="24" t="n"/>
      <c r="C32" s="24" t="n"/>
      <c r="D32" s="24" t="n"/>
      <c r="E32" s="24" t="n"/>
      <c r="F32" s="24" t="n"/>
    </row>
    <row r="33" ht="30" customHeight="1">
      <c r="A33" s="112" t="n">
        <v>17</v>
      </c>
      <c r="B33" s="113" t="inlineStr">
        <is>
          <t>Install / function test TRSV (open-close cycles) at the control-line operating pressure per the Completion Equipment sheet; record opening and closing signatures.</t>
        </is>
      </c>
      <c r="C33" s="110" t="n"/>
      <c r="D33" s="110" t="n"/>
      <c r="E33" s="37" t="n">
        <v>3</v>
      </c>
      <c r="F33" s="114" t="n"/>
    </row>
    <row r="34" ht="30" customHeight="1">
      <c r="A34" s="112" t="n">
        <v>18</v>
      </c>
      <c r="B34" s="113" t="inlineStr">
        <is>
          <t>Confirm nipple and plug profiles are clear with a drift or slickline gauge run to below the deepest profile.</t>
        </is>
      </c>
      <c r="C34" s="110" t="n"/>
      <c r="D34" s="110" t="n"/>
      <c r="E34" s="37" t="n">
        <v>4</v>
      </c>
      <c r="F34" s="114" t="n"/>
    </row>
    <row r="35" ht="30" customHeight="1">
      <c r="A35" s="112" t="n">
        <v>19</v>
      </c>
      <c r="B35" s="113" t="inlineStr">
        <is>
          <t>Nipple down BOP; install production tree; torque connections per manufacturer specification.</t>
        </is>
      </c>
      <c r="C35" s="110" t="n"/>
      <c r="D35" s="110" t="n"/>
      <c r="E35" s="37" t="n">
        <v>8</v>
      </c>
      <c r="F35" s="114" t="n"/>
    </row>
    <row r="36" ht="30" customHeight="1">
      <c r="A36" s="112" t="n">
        <v>20</v>
      </c>
      <c r="B36" s="113" t="inlineStr">
        <is>
          <t>Pressure test tree voids, connections and valves per program; function all tree valves and record.</t>
        </is>
      </c>
      <c r="C36" s="110" t="n"/>
      <c r="D36" s="110" t="n"/>
      <c r="E36" s="37" t="n">
        <v>4</v>
      </c>
      <c r="F36" s="114" t="n"/>
    </row>
    <row r="38" ht="20" customHeight="1">
      <c r="A38" s="23" t="inlineStr">
        <is>
          <t>E. Unload &amp; Handover</t>
        </is>
      </c>
      <c r="B38" s="24" t="n"/>
      <c r="C38" s="24" t="n"/>
      <c r="D38" s="24" t="n"/>
      <c r="E38" s="24" t="n"/>
      <c r="F38" s="24" t="n"/>
    </row>
    <row r="39" ht="30" customHeight="1">
      <c r="A39" s="112" t="n">
        <v>21</v>
      </c>
      <c r="B39" s="113" t="inlineStr">
        <is>
          <t>Displace tubing to underbalance fluid or nitrogen cushion per the Perforating sheet cushion calculations.</t>
        </is>
      </c>
      <c r="C39" s="110" t="n"/>
      <c r="D39" s="110" t="n"/>
      <c r="E39" s="37" t="n">
        <v>6</v>
      </c>
      <c r="F39" s="114" t="n"/>
    </row>
    <row r="40" ht="30" customHeight="1">
      <c r="A40" s="112" t="n">
        <v>22</v>
      </c>
      <c r="B40" s="113">
        <f>"Perforate on depth per program or open sleeves - interval at "&amp;TEXT(WD_PerfTVD,"#,##0")&amp;" ft TVD; correlate to the reference log before firing."</f>
        <v/>
      </c>
      <c r="C40" s="110" t="n"/>
      <c r="D40" s="110" t="n"/>
      <c r="E40" s="37" t="n">
        <v>6</v>
      </c>
      <c r="F40" s="114" t="n"/>
    </row>
    <row r="41" ht="30" customHeight="1">
      <c r="A41" s="112" t="n">
        <v>23</v>
      </c>
      <c r="B41" s="113">
        <f>"Flow the well for clean-up per the program choke schedule; anticipated reservoir pressure "&amp;TEXT(WD_ResP,"#,##0")&amp;" psi; sample until sand-free and BS&amp;W stabilized."</f>
        <v/>
      </c>
      <c r="C41" s="110" t="n"/>
      <c r="D41" s="110" t="n"/>
      <c r="E41" s="37" t="n">
        <v>12</v>
      </c>
      <c r="F41" s="114" t="n"/>
    </row>
    <row r="42" ht="30" customHeight="1">
      <c r="A42" s="112" t="n">
        <v>24</v>
      </c>
      <c r="B42" s="113" t="inlineStr">
        <is>
          <t>Shut in and record buildup as required; secure the well and verify barriers before rig-down.</t>
        </is>
      </c>
      <c r="C42" s="110" t="n"/>
      <c r="D42" s="110" t="n"/>
      <c r="E42" s="37" t="n">
        <v>6</v>
      </c>
      <c r="F42" s="114" t="n"/>
    </row>
    <row r="43" ht="30" customHeight="1">
      <c r="A43" s="112" t="n">
        <v>25</v>
      </c>
      <c r="B43" s="113" t="inlineStr">
        <is>
          <t>Compile and hand over the completion data pack: tallies, test charts, TRSV signatures and the as-built schematic.</t>
        </is>
      </c>
      <c r="C43" s="110" t="n"/>
      <c r="D43" s="110" t="n"/>
      <c r="E43" s="37" t="n">
        <v>4</v>
      </c>
      <c r="F43" s="114" t="n"/>
    </row>
    <row r="45" ht="20" customHeight="1">
      <c r="A45" s="8" t="inlineStr">
        <is>
          <t>Prepared by (engineer):  ____________________________</t>
        </is>
      </c>
      <c r="E45" s="8" t="inlineStr">
        <is>
          <t>Date: ______________</t>
        </is>
      </c>
    </row>
    <row r="46" ht="20" customHeight="1">
      <c r="A46" s="8" t="inlineStr">
        <is>
          <t>Reviewed by (supervisor):  ____________________________</t>
        </is>
      </c>
      <c r="E46" s="8" t="inlineStr">
        <is>
          <t>Date: ______________</t>
        </is>
      </c>
    </row>
    <row r="47" ht="20" customHeight="1">
      <c r="A47" s="8" t="inlineStr">
        <is>
          <t>Approved by (operations superintendent):  ____________________________</t>
        </is>
      </c>
      <c r="E47" s="8" t="inlineStr">
        <is>
          <t>Date: ______________</t>
        </is>
      </c>
    </row>
    <row r="49">
      <c r="A49" s="115" t="inlineStr">
        <is>
          <t>Rev 0 - template issue. Record revisions and MOC references here before execution.</t>
        </is>
      </c>
      <c r="B49" s="110" t="n"/>
      <c r="C49" s="110" t="n"/>
      <c r="D49" s="110" t="n"/>
      <c r="E49" s="110" t="n"/>
      <c r="F49" s="110" t="n"/>
    </row>
    <row r="50">
      <c r="A50" s="27" t="inlineStr">
        <is>
          <t>Template procedure - review and edit every step against the program, permits and MOC before use.</t>
        </is>
      </c>
    </row>
  </sheetData>
  <sheetProtection selectLockedCells="0" selectUnlockedCells="0" sheet="1" objects="0" insertRows="1" insertHyperlinks="1" autoFilter="1" scenarios="0" formatColumns="0" deleteColumns="1" insertColumns="1" pivotTables="1" deleteRows="1" formatCells="1" formatRows="0" sort="1"/>
  <mergeCells count="48">
    <mergeCell ref="B11:D11"/>
    <mergeCell ref="B42:D42"/>
    <mergeCell ref="B14:D14"/>
    <mergeCell ref="B7:C7"/>
    <mergeCell ref="E5:F5"/>
    <mergeCell ref="B13:D13"/>
    <mergeCell ref="A50:F50"/>
    <mergeCell ref="B29:D29"/>
    <mergeCell ref="A47:D47"/>
    <mergeCell ref="B34:D34"/>
    <mergeCell ref="A2:F2"/>
    <mergeCell ref="B28:D28"/>
    <mergeCell ref="B19:D19"/>
    <mergeCell ref="A32:F32"/>
    <mergeCell ref="A8:F8"/>
    <mergeCell ref="B40:D40"/>
    <mergeCell ref="A17:F17"/>
    <mergeCell ref="B30:D30"/>
    <mergeCell ref="B15:D15"/>
    <mergeCell ref="B20:D20"/>
    <mergeCell ref="B33:D33"/>
    <mergeCell ref="A38:F38"/>
    <mergeCell ref="A45:D45"/>
    <mergeCell ref="E6:F6"/>
    <mergeCell ref="A10:F10"/>
    <mergeCell ref="B36:D36"/>
    <mergeCell ref="E46:F46"/>
    <mergeCell ref="B41:D41"/>
    <mergeCell ref="B35:D35"/>
    <mergeCell ref="B4:D4"/>
    <mergeCell ref="B26:D26"/>
    <mergeCell ref="E45:F45"/>
    <mergeCell ref="B25:D25"/>
    <mergeCell ref="A46:D46"/>
    <mergeCell ref="A24:F24"/>
    <mergeCell ref="B6:C6"/>
    <mergeCell ref="A49:F49"/>
    <mergeCell ref="E7:F7"/>
    <mergeCell ref="B5:C5"/>
    <mergeCell ref="A1:F1"/>
    <mergeCell ref="B22:D22"/>
    <mergeCell ref="B18:D18"/>
    <mergeCell ref="B27:D27"/>
    <mergeCell ref="B21:D21"/>
    <mergeCell ref="B43:D43"/>
    <mergeCell ref="B12:D12"/>
    <mergeCell ref="B39:D39"/>
    <mergeCell ref="E47:F47"/>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pageSetup orientation="portrait" fitToHeight="0" fitToWidth="1"/>
</worksheet>
</file>

<file path=xl/worksheets/sheet39.xml><?xml version="1.0" encoding="utf-8"?>
<worksheet xmlns="http://schemas.openxmlformats.org/spreadsheetml/2006/main">
  <sheetPr>
    <tabColor rgb="00C55A11"/>
    <outlinePr summaryBelow="1" summaryRight="1"/>
    <pageSetUpPr/>
  </sheetPr>
  <dimension ref="A1:M84"/>
  <sheetViews>
    <sheetView workbookViewId="0">
      <pane ySplit="4" topLeftCell="A5" activePane="bottomLeft" state="frozen"/>
      <selection pane="bottomLeft" activeCell="A1" sqref="A1"/>
    </sheetView>
  </sheetViews>
  <sheetFormatPr baseColWidth="8" defaultRowHeight="15"/>
  <cols>
    <col width="42" customWidth="1" min="1" max="1"/>
    <col width="30" customWidth="1" min="2" max="2"/>
    <col width="11" customWidth="1" min="3" max="3"/>
    <col width="14" customWidth="1" min="4" max="4"/>
    <col width="11" customWidth="1" min="5" max="5"/>
    <col width="78" customWidth="1" min="6" max="6"/>
  </cols>
  <sheetData>
    <row r="1" ht="26" customHeight="1">
      <c r="A1" s="19" t="inlineStr">
        <is>
          <t>Surface Rig-Up - Treating Iron / Chiksan Line Builder</t>
        </is>
      </c>
      <c r="B1" s="2" t="n"/>
      <c r="C1" s="2" t="n"/>
      <c r="D1" s="2" t="n"/>
      <c r="E1" s="2" t="n"/>
      <c r="F1" s="2" t="n"/>
    </row>
    <row r="2">
      <c r="A2" s="20" t="inlineStr">
        <is>
          <t>Ordered component list from pump to wellhead: footage, line volume, minimum ID and minimum pressure rating for line tests and displacements</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1. Treating Iron Catalog</t>
        </is>
      </c>
      <c r="B6" s="24" t="n"/>
      <c r="C6" s="24" t="n"/>
      <c r="D6" s="24" t="n"/>
      <c r="E6" s="24" t="n"/>
      <c r="F6" s="24" t="n"/>
    </row>
    <row r="7">
      <c r="A7" s="9" t="inlineStr">
        <is>
          <t>FMC/Weir-style treating iron, figure-1502 wing unions unless noted. Lengths are typical make-up (assembled) lengths. CWP = cold working pressure. The hammer hose is rated 10,000 psi CWP and governs the line rating whenever it is in the path.</t>
        </is>
      </c>
    </row>
    <row r="8">
      <c r="A8" s="43" t="inlineStr">
        <is>
          <t>Name</t>
        </is>
      </c>
      <c r="B8" s="43" t="inlineStr">
        <is>
          <t>Length (ft)</t>
        </is>
      </c>
      <c r="C8" s="43" t="inlineStr">
        <is>
          <t>ID (in)</t>
        </is>
      </c>
      <c r="D8" s="43" t="inlineStr">
        <is>
          <t>Rating CWP (psi)</t>
        </is>
      </c>
      <c r="E8" s="43" t="inlineStr">
        <is>
          <t>Category</t>
        </is>
      </c>
      <c r="F8" s="43" t="inlineStr">
        <is>
          <t>Capacity (bbl/ft)</t>
        </is>
      </c>
      <c r="G8" s="43" t="inlineStr">
        <is>
          <t>Capacity (gal/ft)</t>
        </is>
      </c>
    </row>
    <row r="9">
      <c r="A9" s="44" t="inlineStr">
        <is>
          <t>2in 1502 pup 2ft</t>
        </is>
      </c>
      <c r="B9" s="123" t="n">
        <v>2</v>
      </c>
      <c r="C9" s="46" t="n">
        <v>1.75</v>
      </c>
      <c r="D9" s="124" t="n">
        <v>15000</v>
      </c>
      <c r="E9" s="125" t="inlineStr">
        <is>
          <t>pup</t>
        </is>
      </c>
      <c r="F9" s="47">
        <f>$C9^2/1029.4</f>
        <v/>
      </c>
      <c r="G9" s="126">
        <f>$C9^2/1029.4*42</f>
        <v/>
      </c>
    </row>
    <row r="10">
      <c r="A10" s="44" t="inlineStr">
        <is>
          <t>2in 1502 pup 4ft</t>
        </is>
      </c>
      <c r="B10" s="123" t="n">
        <v>4</v>
      </c>
      <c r="C10" s="46" t="n">
        <v>1.75</v>
      </c>
      <c r="D10" s="124" t="n">
        <v>15000</v>
      </c>
      <c r="E10" s="125" t="inlineStr">
        <is>
          <t>pup</t>
        </is>
      </c>
      <c r="F10" s="47">
        <f>$C10^2/1029.4</f>
        <v/>
      </c>
      <c r="G10" s="126">
        <f>$C10^2/1029.4*42</f>
        <v/>
      </c>
    </row>
    <row r="11">
      <c r="A11" s="44" t="inlineStr">
        <is>
          <t>2in 1502 pup 6ft</t>
        </is>
      </c>
      <c r="B11" s="123" t="n">
        <v>6</v>
      </c>
      <c r="C11" s="46" t="n">
        <v>1.75</v>
      </c>
      <c r="D11" s="124" t="n">
        <v>15000</v>
      </c>
      <c r="E11" s="125" t="inlineStr">
        <is>
          <t>pup</t>
        </is>
      </c>
      <c r="F11" s="47">
        <f>$C11^2/1029.4</f>
        <v/>
      </c>
      <c r="G11" s="126">
        <f>$C11^2/1029.4*42</f>
        <v/>
      </c>
    </row>
    <row r="12">
      <c r="A12" s="44" t="inlineStr">
        <is>
          <t>2in 1502 pup 8ft</t>
        </is>
      </c>
      <c r="B12" s="123" t="n">
        <v>8</v>
      </c>
      <c r="C12" s="46" t="n">
        <v>1.75</v>
      </c>
      <c r="D12" s="124" t="n">
        <v>15000</v>
      </c>
      <c r="E12" s="125" t="inlineStr">
        <is>
          <t>pup</t>
        </is>
      </c>
      <c r="F12" s="47">
        <f>$C12^2/1029.4</f>
        <v/>
      </c>
      <c r="G12" s="126">
        <f>$C12^2/1029.4*42</f>
        <v/>
      </c>
    </row>
    <row r="13">
      <c r="A13" s="44" t="inlineStr">
        <is>
          <t>2in 1502 pup 10ft</t>
        </is>
      </c>
      <c r="B13" s="123" t="n">
        <v>10</v>
      </c>
      <c r="C13" s="46" t="n">
        <v>1.75</v>
      </c>
      <c r="D13" s="124" t="n">
        <v>15000</v>
      </c>
      <c r="E13" s="125" t="inlineStr">
        <is>
          <t>pup</t>
        </is>
      </c>
      <c r="F13" s="47">
        <f>$C13^2/1029.4</f>
        <v/>
      </c>
      <c r="G13" s="126">
        <f>$C13^2/1029.4*42</f>
        <v/>
      </c>
    </row>
    <row r="14">
      <c r="A14" s="44" t="inlineStr">
        <is>
          <t>2in 1502 straight 10ft</t>
        </is>
      </c>
      <c r="B14" s="123" t="n">
        <v>10</v>
      </c>
      <c r="C14" s="46" t="n">
        <v>1.75</v>
      </c>
      <c r="D14" s="124" t="n">
        <v>15000</v>
      </c>
      <c r="E14" s="125" t="inlineStr">
        <is>
          <t>straight</t>
        </is>
      </c>
      <c r="F14" s="47">
        <f>$C14^2/1029.4</f>
        <v/>
      </c>
      <c r="G14" s="126">
        <f>$C14^2/1029.4*42</f>
        <v/>
      </c>
    </row>
    <row r="15">
      <c r="A15" s="44" t="inlineStr">
        <is>
          <t>2in Chiksan style 50 swivel</t>
        </is>
      </c>
      <c r="B15" s="123" t="n">
        <v>2.2</v>
      </c>
      <c r="C15" s="46" t="n">
        <v>1.75</v>
      </c>
      <c r="D15" s="124" t="n">
        <v>15000</v>
      </c>
      <c r="E15" s="125" t="inlineStr">
        <is>
          <t>swivel</t>
        </is>
      </c>
      <c r="F15" s="47">
        <f>$C15^2/1029.4</f>
        <v/>
      </c>
      <c r="G15" s="126">
        <f>$C15^2/1029.4*42</f>
        <v/>
      </c>
    </row>
    <row r="16">
      <c r="A16" s="44" t="inlineStr">
        <is>
          <t>2in Chiksan style 10 swivel</t>
        </is>
      </c>
      <c r="B16" s="123" t="n">
        <v>1.5</v>
      </c>
      <c r="C16" s="46" t="n">
        <v>1.75</v>
      </c>
      <c r="D16" s="124" t="n">
        <v>15000</v>
      </c>
      <c r="E16" s="125" t="inlineStr">
        <is>
          <t>swivel</t>
        </is>
      </c>
      <c r="F16" s="47">
        <f>$C16^2/1029.4</f>
        <v/>
      </c>
      <c r="G16" s="126">
        <f>$C16^2/1029.4*42</f>
        <v/>
      </c>
    </row>
    <row r="17">
      <c r="A17" s="44" t="inlineStr">
        <is>
          <t>2in 1502 plug valve</t>
        </is>
      </c>
      <c r="B17" s="123" t="n">
        <v>1.6</v>
      </c>
      <c r="C17" s="46" t="n">
        <v>1.69</v>
      </c>
      <c r="D17" s="124" t="n">
        <v>15000</v>
      </c>
      <c r="E17" s="125" t="inlineStr">
        <is>
          <t>valve</t>
        </is>
      </c>
      <c r="F17" s="47">
        <f>$C17^2/1029.4</f>
        <v/>
      </c>
      <c r="G17" s="126">
        <f>$C17^2/1029.4*42</f>
        <v/>
      </c>
    </row>
    <row r="18">
      <c r="A18" s="44" t="inlineStr">
        <is>
          <t>2in 1502 check valve</t>
        </is>
      </c>
      <c r="B18" s="123" t="n">
        <v>1.6</v>
      </c>
      <c r="C18" s="46" t="n">
        <v>1.69</v>
      </c>
      <c r="D18" s="124" t="n">
        <v>15000</v>
      </c>
      <c r="E18" s="125" t="inlineStr">
        <is>
          <t>valve</t>
        </is>
      </c>
      <c r="F18" s="47">
        <f>$C18^2/1029.4</f>
        <v/>
      </c>
      <c r="G18" s="126">
        <f>$C18^2/1029.4*42</f>
        <v/>
      </c>
    </row>
    <row r="19">
      <c r="A19" s="44" t="inlineStr">
        <is>
          <t>2in 1502 tee</t>
        </is>
      </c>
      <c r="B19" s="123" t="n">
        <v>1.3</v>
      </c>
      <c r="C19" s="46" t="n">
        <v>1.75</v>
      </c>
      <c r="D19" s="124" t="n">
        <v>15000</v>
      </c>
      <c r="E19" s="125" t="inlineStr">
        <is>
          <t>fitting</t>
        </is>
      </c>
      <c r="F19" s="47">
        <f>$C19^2/1029.4</f>
        <v/>
      </c>
      <c r="G19" s="126">
        <f>$C19^2/1029.4*42</f>
        <v/>
      </c>
    </row>
    <row r="20">
      <c r="A20" s="44" t="inlineStr">
        <is>
          <t>2in 1502 cross</t>
        </is>
      </c>
      <c r="B20" s="123" t="n">
        <v>1.3</v>
      </c>
      <c r="C20" s="46" t="n">
        <v>1.75</v>
      </c>
      <c r="D20" s="124" t="n">
        <v>15000</v>
      </c>
      <c r="E20" s="125" t="inlineStr">
        <is>
          <t>fitting</t>
        </is>
      </c>
      <c r="F20" s="47">
        <f>$C20^2/1029.4</f>
        <v/>
      </c>
      <c r="G20" s="126">
        <f>$C20^2/1029.4*42</f>
        <v/>
      </c>
    </row>
    <row r="21">
      <c r="A21" s="44" t="inlineStr">
        <is>
          <t>2in 1502 lateral (wye)</t>
        </is>
      </c>
      <c r="B21" s="123" t="n">
        <v>1.5</v>
      </c>
      <c r="C21" s="46" t="n">
        <v>1.75</v>
      </c>
      <c r="D21" s="124" t="n">
        <v>15000</v>
      </c>
      <c r="E21" s="125" t="inlineStr">
        <is>
          <t>fitting</t>
        </is>
      </c>
      <c r="F21" s="47">
        <f>$C21^2/1029.4</f>
        <v/>
      </c>
      <c r="G21" s="126">
        <f>$C21^2/1029.4*42</f>
        <v/>
      </c>
    </row>
    <row r="22">
      <c r="A22" s="44" t="inlineStr">
        <is>
          <t>3in 1502 pup 10ft</t>
        </is>
      </c>
      <c r="B22" s="123" t="n">
        <v>10</v>
      </c>
      <c r="C22" s="46" t="n">
        <v>2.75</v>
      </c>
      <c r="D22" s="124" t="n">
        <v>15000</v>
      </c>
      <c r="E22" s="125" t="inlineStr">
        <is>
          <t>pup</t>
        </is>
      </c>
      <c r="F22" s="47">
        <f>$C22^2/1029.4</f>
        <v/>
      </c>
      <c r="G22" s="126">
        <f>$C22^2/1029.4*42</f>
        <v/>
      </c>
    </row>
    <row r="23">
      <c r="A23" s="44" t="inlineStr">
        <is>
          <t>3in 1502 straight 10ft</t>
        </is>
      </c>
      <c r="B23" s="123" t="n">
        <v>10</v>
      </c>
      <c r="C23" s="46" t="n">
        <v>2.75</v>
      </c>
      <c r="D23" s="124" t="n">
        <v>15000</v>
      </c>
      <c r="E23" s="125" t="inlineStr">
        <is>
          <t>straight</t>
        </is>
      </c>
      <c r="F23" s="47">
        <f>$C23^2/1029.4</f>
        <v/>
      </c>
      <c r="G23" s="126">
        <f>$C23^2/1029.4*42</f>
        <v/>
      </c>
    </row>
    <row r="24">
      <c r="A24" s="44" t="inlineStr">
        <is>
          <t>3in Chiksan style 50 swivel</t>
        </is>
      </c>
      <c r="B24" s="123" t="n">
        <v>2.6</v>
      </c>
      <c r="C24" s="46" t="n">
        <v>2.75</v>
      </c>
      <c r="D24" s="124" t="n">
        <v>15000</v>
      </c>
      <c r="E24" s="125" t="inlineStr">
        <is>
          <t>swivel</t>
        </is>
      </c>
      <c r="F24" s="47">
        <f>$C24^2/1029.4</f>
        <v/>
      </c>
      <c r="G24" s="126">
        <f>$C24^2/1029.4*42</f>
        <v/>
      </c>
    </row>
    <row r="25">
      <c r="A25" s="44" t="inlineStr">
        <is>
          <t>3in 1502 plug valve</t>
        </is>
      </c>
      <c r="B25" s="123" t="n">
        <v>1.9</v>
      </c>
      <c r="C25" s="46" t="n">
        <v>2.62</v>
      </c>
      <c r="D25" s="124" t="n">
        <v>15000</v>
      </c>
      <c r="E25" s="125" t="inlineStr">
        <is>
          <t>valve</t>
        </is>
      </c>
      <c r="F25" s="47">
        <f>$C25^2/1029.4</f>
        <v/>
      </c>
      <c r="G25" s="126">
        <f>$C25^2/1029.4*42</f>
        <v/>
      </c>
    </row>
    <row r="26">
      <c r="A26" s="44" t="inlineStr">
        <is>
          <t>3in x 2in 1502 crossover</t>
        </is>
      </c>
      <c r="B26" s="123" t="n">
        <v>1</v>
      </c>
      <c r="C26" s="46" t="n">
        <v>1.75</v>
      </c>
      <c r="D26" s="124" t="n">
        <v>15000</v>
      </c>
      <c r="E26" s="125" t="inlineStr">
        <is>
          <t>fitting</t>
        </is>
      </c>
      <c r="F26" s="47">
        <f>$C26^2/1029.4</f>
        <v/>
      </c>
      <c r="G26" s="126">
        <f>$C26^2/1029.4*42</f>
        <v/>
      </c>
    </row>
    <row r="27">
      <c r="A27" s="44" t="inlineStr">
        <is>
          <t>2in 1502 x 2in hammer hose 20ft</t>
        </is>
      </c>
      <c r="B27" s="123" t="n">
        <v>20</v>
      </c>
      <c r="C27" s="46" t="n">
        <v>1.75</v>
      </c>
      <c r="D27" s="124" t="n">
        <v>10000</v>
      </c>
      <c r="E27" s="125" t="inlineStr">
        <is>
          <t>hose</t>
        </is>
      </c>
      <c r="F27" s="47">
        <f>$C27^2/1029.4</f>
        <v/>
      </c>
      <c r="G27" s="126">
        <f>$C27^2/1029.4*42</f>
        <v/>
      </c>
    </row>
    <row r="28">
      <c r="A28" s="44" t="inlineStr">
        <is>
          <t>Low-torque relief valve 2in</t>
        </is>
      </c>
      <c r="B28" s="123" t="n">
        <v>1.6</v>
      </c>
      <c r="C28" s="46" t="n">
        <v>1.69</v>
      </c>
      <c r="D28" s="124" t="n">
        <v>15000</v>
      </c>
      <c r="E28" s="125" t="inlineStr">
        <is>
          <t>valve</t>
        </is>
      </c>
      <c r="F28" s="47">
        <f>$C28^2/1029.4</f>
        <v/>
      </c>
      <c r="G28" s="126">
        <f>$C28^2/1029.4*42</f>
        <v/>
      </c>
    </row>
    <row r="30" ht="20" customHeight="1">
      <c r="A30" s="23" t="inlineStr">
        <is>
          <t>2. Rig-Up Builder (row order = flow path, pump to wellhead)</t>
        </is>
      </c>
      <c r="B30" s="24" t="n"/>
      <c r="C30" s="24" t="n"/>
      <c r="D30" s="24" t="n"/>
      <c r="E30" s="24" t="n"/>
      <c r="F30" s="24" t="n"/>
    </row>
    <row r="31">
      <c r="A31" s="9" t="inlineStr">
        <is>
          <t>Pick components from the dropdown IN FLOW ORDER from the pump discharge to the wellhead - the sequence is the line walk-down. Qty repeats identical items back-to-back. Unused rows stay blank. Columns I-M are numeric helpers for the tallies - leave them alone.</t>
        </is>
      </c>
    </row>
    <row r="32">
      <c r="A32" s="66" t="inlineStr">
        <is>
          <t>Seq #</t>
        </is>
      </c>
      <c r="B32" s="67" t="inlineStr">
        <is>
          <t>Component</t>
        </is>
      </c>
      <c r="C32" s="67" t="inlineStr">
        <is>
          <t>Qty</t>
        </is>
      </c>
      <c r="D32" s="67" t="inlineStr">
        <is>
          <t>Unit len (ft)</t>
        </is>
      </c>
      <c r="E32" s="67" t="inlineStr">
        <is>
          <t>Line len (ft)</t>
        </is>
      </c>
      <c r="F32" s="67" t="inlineStr">
        <is>
          <t>ID (in)</t>
        </is>
      </c>
      <c r="G32" s="67" t="inlineStr">
        <is>
          <t>Rating (psi)</t>
        </is>
      </c>
      <c r="H32" s="67" t="inlineStr">
        <is>
          <t>Volume (bbl)</t>
        </is>
      </c>
      <c r="I32" s="127" t="inlineStr">
        <is>
          <t>len 0</t>
        </is>
      </c>
      <c r="J32" s="127" t="inlineStr">
        <is>
          <t>vol 0</t>
        </is>
      </c>
      <c r="K32" s="127" t="inlineStr">
        <is>
          <t>ID big</t>
        </is>
      </c>
      <c r="L32" s="127" t="inlineStr">
        <is>
          <t>rate big</t>
        </is>
      </c>
      <c r="M32" s="127" t="inlineStr">
        <is>
          <t>qty 0</t>
        </is>
      </c>
    </row>
    <row r="33">
      <c r="A33" s="120">
        <f>IF($B33="","",1)</f>
        <v/>
      </c>
      <c r="B33" s="128" t="inlineStr">
        <is>
          <t>2in 1502 pup 10ft</t>
        </is>
      </c>
      <c r="C33" s="117" t="n">
        <v>2</v>
      </c>
      <c r="D33" s="129">
        <f>IF($B33="","",IFERROR(VLOOKUP($B33,RU_Table,2,FALSE),""))</f>
        <v/>
      </c>
      <c r="E33" s="129">
        <f>IF(OR($B33="",$C33="",$D33=""),"",$D33*$C33)</f>
        <v/>
      </c>
      <c r="F33" s="70">
        <f>IF($B33="","",IFERROR(VLOOKUP($B33,RU_Table,3,FALSE),""))</f>
        <v/>
      </c>
      <c r="G33" s="71">
        <f>IF($B33="","",IFERROR(VLOOKUP($B33,RU_Table,4,FALSE),""))</f>
        <v/>
      </c>
      <c r="H33" s="58">
        <f>IF(OR($E33="",$F33=""),"",$F33^2/1029.4*$E33)</f>
        <v/>
      </c>
      <c r="I33" s="130">
        <f>IF(ISNUMBER($E33),$E33,0)</f>
        <v/>
      </c>
      <c r="J33" s="130">
        <f>IF(ISNUMBER($H33),$H33,0)</f>
        <v/>
      </c>
      <c r="K33" s="130">
        <f>IF(ISNUMBER($F33),$F33,9.99E+9)</f>
        <v/>
      </c>
      <c r="L33" s="130">
        <f>IF(ISNUMBER($G33),$G33,9.99E+9)</f>
        <v/>
      </c>
      <c r="M33" s="130">
        <f>IF(ISNUMBER($C33),$C33,0)</f>
        <v/>
      </c>
    </row>
    <row r="34">
      <c r="A34" s="120">
        <f>IF($B34="","",2)</f>
        <v/>
      </c>
      <c r="B34" s="128" t="inlineStr">
        <is>
          <t>2in Chiksan style 50 swivel</t>
        </is>
      </c>
      <c r="C34" s="117" t="n">
        <v>3</v>
      </c>
      <c r="D34" s="129">
        <f>IF($B34="","",IFERROR(VLOOKUP($B34,RU_Table,2,FALSE),""))</f>
        <v/>
      </c>
      <c r="E34" s="129">
        <f>IF(OR($B34="",$C34="",$D34=""),"",$D34*$C34)</f>
        <v/>
      </c>
      <c r="F34" s="70">
        <f>IF($B34="","",IFERROR(VLOOKUP($B34,RU_Table,3,FALSE),""))</f>
        <v/>
      </c>
      <c r="G34" s="71">
        <f>IF($B34="","",IFERROR(VLOOKUP($B34,RU_Table,4,FALSE),""))</f>
        <v/>
      </c>
      <c r="H34" s="58">
        <f>IF(OR($E34="",$F34=""),"",$F34^2/1029.4*$E34)</f>
        <v/>
      </c>
      <c r="I34" s="130">
        <f>IF(ISNUMBER($E34),$E34,0)</f>
        <v/>
      </c>
      <c r="J34" s="130">
        <f>IF(ISNUMBER($H34),$H34,0)</f>
        <v/>
      </c>
      <c r="K34" s="130">
        <f>IF(ISNUMBER($F34),$F34,9.99E+9)</f>
        <v/>
      </c>
      <c r="L34" s="130">
        <f>IF(ISNUMBER($G34),$G34,9.99E+9)</f>
        <v/>
      </c>
      <c r="M34" s="130">
        <f>IF(ISNUMBER($C34),$C34,0)</f>
        <v/>
      </c>
    </row>
    <row r="35">
      <c r="A35" s="120">
        <f>IF($B35="","",3)</f>
        <v/>
      </c>
      <c r="B35" s="128" t="inlineStr">
        <is>
          <t>2in 1502 straight 10ft</t>
        </is>
      </c>
      <c r="C35" s="117" t="n">
        <v>4</v>
      </c>
      <c r="D35" s="129">
        <f>IF($B35="","",IFERROR(VLOOKUP($B35,RU_Table,2,FALSE),""))</f>
        <v/>
      </c>
      <c r="E35" s="129">
        <f>IF(OR($B35="",$C35="",$D35=""),"",$D35*$C35)</f>
        <v/>
      </c>
      <c r="F35" s="70">
        <f>IF($B35="","",IFERROR(VLOOKUP($B35,RU_Table,3,FALSE),""))</f>
        <v/>
      </c>
      <c r="G35" s="71">
        <f>IF($B35="","",IFERROR(VLOOKUP($B35,RU_Table,4,FALSE),""))</f>
        <v/>
      </c>
      <c r="H35" s="58">
        <f>IF(OR($E35="",$F35=""),"",$F35^2/1029.4*$E35)</f>
        <v/>
      </c>
      <c r="I35" s="130">
        <f>IF(ISNUMBER($E35),$E35,0)</f>
        <v/>
      </c>
      <c r="J35" s="130">
        <f>IF(ISNUMBER($H35),$H35,0)</f>
        <v/>
      </c>
      <c r="K35" s="130">
        <f>IF(ISNUMBER($F35),$F35,9.99E+9)</f>
        <v/>
      </c>
      <c r="L35" s="130">
        <f>IF(ISNUMBER($G35),$G35,9.99E+9)</f>
        <v/>
      </c>
      <c r="M35" s="130">
        <f>IF(ISNUMBER($C35),$C35,0)</f>
        <v/>
      </c>
    </row>
    <row r="36">
      <c r="A36" s="120">
        <f>IF($B36="","",4)</f>
        <v/>
      </c>
      <c r="B36" s="128" t="inlineStr">
        <is>
          <t>2in 1502 check valve</t>
        </is>
      </c>
      <c r="C36" s="117" t="n">
        <v>1</v>
      </c>
      <c r="D36" s="129">
        <f>IF($B36="","",IFERROR(VLOOKUP($B36,RU_Table,2,FALSE),""))</f>
        <v/>
      </c>
      <c r="E36" s="129">
        <f>IF(OR($B36="",$C36="",$D36=""),"",$D36*$C36)</f>
        <v/>
      </c>
      <c r="F36" s="70">
        <f>IF($B36="","",IFERROR(VLOOKUP($B36,RU_Table,3,FALSE),""))</f>
        <v/>
      </c>
      <c r="G36" s="71">
        <f>IF($B36="","",IFERROR(VLOOKUP($B36,RU_Table,4,FALSE),""))</f>
        <v/>
      </c>
      <c r="H36" s="58">
        <f>IF(OR($E36="",$F36=""),"",$F36^2/1029.4*$E36)</f>
        <v/>
      </c>
      <c r="I36" s="130">
        <f>IF(ISNUMBER($E36),$E36,0)</f>
        <v/>
      </c>
      <c r="J36" s="130">
        <f>IF(ISNUMBER($H36),$H36,0)</f>
        <v/>
      </c>
      <c r="K36" s="130">
        <f>IF(ISNUMBER($F36),$F36,9.99E+9)</f>
        <v/>
      </c>
      <c r="L36" s="130">
        <f>IF(ISNUMBER($G36),$G36,9.99E+9)</f>
        <v/>
      </c>
      <c r="M36" s="130">
        <f>IF(ISNUMBER($C36),$C36,0)</f>
        <v/>
      </c>
    </row>
    <row r="37">
      <c r="A37" s="120">
        <f>IF($B37="","",5)</f>
        <v/>
      </c>
      <c r="B37" s="128" t="inlineStr">
        <is>
          <t>2in 1502 plug valve</t>
        </is>
      </c>
      <c r="C37" s="117" t="n">
        <v>2</v>
      </c>
      <c r="D37" s="129">
        <f>IF($B37="","",IFERROR(VLOOKUP($B37,RU_Table,2,FALSE),""))</f>
        <v/>
      </c>
      <c r="E37" s="129">
        <f>IF(OR($B37="",$C37="",$D37=""),"",$D37*$C37)</f>
        <v/>
      </c>
      <c r="F37" s="70">
        <f>IF($B37="","",IFERROR(VLOOKUP($B37,RU_Table,3,FALSE),""))</f>
        <v/>
      </c>
      <c r="G37" s="71">
        <f>IF($B37="","",IFERROR(VLOOKUP($B37,RU_Table,4,FALSE),""))</f>
        <v/>
      </c>
      <c r="H37" s="58">
        <f>IF(OR($E37="",$F37=""),"",$F37^2/1029.4*$E37)</f>
        <v/>
      </c>
      <c r="I37" s="130">
        <f>IF(ISNUMBER($E37),$E37,0)</f>
        <v/>
      </c>
      <c r="J37" s="130">
        <f>IF(ISNUMBER($H37),$H37,0)</f>
        <v/>
      </c>
      <c r="K37" s="130">
        <f>IF(ISNUMBER($F37),$F37,9.99E+9)</f>
        <v/>
      </c>
      <c r="L37" s="130">
        <f>IF(ISNUMBER($G37),$G37,9.99E+9)</f>
        <v/>
      </c>
      <c r="M37" s="130">
        <f>IF(ISNUMBER($C37),$C37,0)</f>
        <v/>
      </c>
    </row>
    <row r="38">
      <c r="A38" s="120">
        <f>IF($B38="","",6)</f>
        <v/>
      </c>
      <c r="B38" s="128" t="inlineStr">
        <is>
          <t>2in Chiksan style 50 swivel</t>
        </is>
      </c>
      <c r="C38" s="117" t="n">
        <v>3</v>
      </c>
      <c r="D38" s="129">
        <f>IF($B38="","",IFERROR(VLOOKUP($B38,RU_Table,2,FALSE),""))</f>
        <v/>
      </c>
      <c r="E38" s="129">
        <f>IF(OR($B38="",$C38="",$D38=""),"",$D38*$C38)</f>
        <v/>
      </c>
      <c r="F38" s="70">
        <f>IF($B38="","",IFERROR(VLOOKUP($B38,RU_Table,3,FALSE),""))</f>
        <v/>
      </c>
      <c r="G38" s="71">
        <f>IF($B38="","",IFERROR(VLOOKUP($B38,RU_Table,4,FALSE),""))</f>
        <v/>
      </c>
      <c r="H38" s="58">
        <f>IF(OR($E38="",$F38=""),"",$F38^2/1029.4*$E38)</f>
        <v/>
      </c>
      <c r="I38" s="130">
        <f>IF(ISNUMBER($E38),$E38,0)</f>
        <v/>
      </c>
      <c r="J38" s="130">
        <f>IF(ISNUMBER($H38),$H38,0)</f>
        <v/>
      </c>
      <c r="K38" s="130">
        <f>IF(ISNUMBER($F38),$F38,9.99E+9)</f>
        <v/>
      </c>
      <c r="L38" s="130">
        <f>IF(ISNUMBER($G38),$G38,9.99E+9)</f>
        <v/>
      </c>
      <c r="M38" s="130">
        <f>IF(ISNUMBER($C38),$C38,0)</f>
        <v/>
      </c>
    </row>
    <row r="39">
      <c r="A39" s="120">
        <f>IF($B39="","",7)</f>
        <v/>
      </c>
      <c r="B39" s="128" t="inlineStr">
        <is>
          <t>2in 1502 pup 6ft</t>
        </is>
      </c>
      <c r="C39" s="117" t="n">
        <v>1</v>
      </c>
      <c r="D39" s="129">
        <f>IF($B39="","",IFERROR(VLOOKUP($B39,RU_Table,2,FALSE),""))</f>
        <v/>
      </c>
      <c r="E39" s="129">
        <f>IF(OR($B39="",$C39="",$D39=""),"",$D39*$C39)</f>
        <v/>
      </c>
      <c r="F39" s="70">
        <f>IF($B39="","",IFERROR(VLOOKUP($B39,RU_Table,3,FALSE),""))</f>
        <v/>
      </c>
      <c r="G39" s="71">
        <f>IF($B39="","",IFERROR(VLOOKUP($B39,RU_Table,4,FALSE),""))</f>
        <v/>
      </c>
      <c r="H39" s="58">
        <f>IF(OR($E39="",$F39=""),"",$F39^2/1029.4*$E39)</f>
        <v/>
      </c>
      <c r="I39" s="130">
        <f>IF(ISNUMBER($E39),$E39,0)</f>
        <v/>
      </c>
      <c r="J39" s="130">
        <f>IF(ISNUMBER($H39),$H39,0)</f>
        <v/>
      </c>
      <c r="K39" s="130">
        <f>IF(ISNUMBER($F39),$F39,9.99E+9)</f>
        <v/>
      </c>
      <c r="L39" s="130">
        <f>IF(ISNUMBER($G39),$G39,9.99E+9)</f>
        <v/>
      </c>
      <c r="M39" s="130">
        <f>IF(ISNUMBER($C39),$C39,0)</f>
        <v/>
      </c>
    </row>
    <row r="40">
      <c r="A40" s="120">
        <f>IF($B40="","",8)</f>
        <v/>
      </c>
      <c r="B40" s="128" t="inlineStr"/>
      <c r="C40" s="117" t="n"/>
      <c r="D40" s="129">
        <f>IF($B40="","",IFERROR(VLOOKUP($B40,RU_Table,2,FALSE),""))</f>
        <v/>
      </c>
      <c r="E40" s="129">
        <f>IF(OR($B40="",$C40="",$D40=""),"",$D40*$C40)</f>
        <v/>
      </c>
      <c r="F40" s="70">
        <f>IF($B40="","",IFERROR(VLOOKUP($B40,RU_Table,3,FALSE),""))</f>
        <v/>
      </c>
      <c r="G40" s="71">
        <f>IF($B40="","",IFERROR(VLOOKUP($B40,RU_Table,4,FALSE),""))</f>
        <v/>
      </c>
      <c r="H40" s="58">
        <f>IF(OR($E40="",$F40=""),"",$F40^2/1029.4*$E40)</f>
        <v/>
      </c>
      <c r="I40" s="130">
        <f>IF(ISNUMBER($E40),$E40,0)</f>
        <v/>
      </c>
      <c r="J40" s="130">
        <f>IF(ISNUMBER($H40),$H40,0)</f>
        <v/>
      </c>
      <c r="K40" s="130">
        <f>IF(ISNUMBER($F40),$F40,9.99E+9)</f>
        <v/>
      </c>
      <c r="L40" s="130">
        <f>IF(ISNUMBER($G40),$G40,9.99E+9)</f>
        <v/>
      </c>
      <c r="M40" s="130">
        <f>IF(ISNUMBER($C40),$C40,0)</f>
        <v/>
      </c>
    </row>
    <row r="41">
      <c r="A41" s="120">
        <f>IF($B41="","",9)</f>
        <v/>
      </c>
      <c r="B41" s="128" t="inlineStr"/>
      <c r="C41" s="117" t="n"/>
      <c r="D41" s="129">
        <f>IF($B41="","",IFERROR(VLOOKUP($B41,RU_Table,2,FALSE),""))</f>
        <v/>
      </c>
      <c r="E41" s="129">
        <f>IF(OR($B41="",$C41="",$D41=""),"",$D41*$C41)</f>
        <v/>
      </c>
      <c r="F41" s="70">
        <f>IF($B41="","",IFERROR(VLOOKUP($B41,RU_Table,3,FALSE),""))</f>
        <v/>
      </c>
      <c r="G41" s="71">
        <f>IF($B41="","",IFERROR(VLOOKUP($B41,RU_Table,4,FALSE),""))</f>
        <v/>
      </c>
      <c r="H41" s="58">
        <f>IF(OR($E41="",$F41=""),"",$F41^2/1029.4*$E41)</f>
        <v/>
      </c>
      <c r="I41" s="130">
        <f>IF(ISNUMBER($E41),$E41,0)</f>
        <v/>
      </c>
      <c r="J41" s="130">
        <f>IF(ISNUMBER($H41),$H41,0)</f>
        <v/>
      </c>
      <c r="K41" s="130">
        <f>IF(ISNUMBER($F41),$F41,9.99E+9)</f>
        <v/>
      </c>
      <c r="L41" s="130">
        <f>IF(ISNUMBER($G41),$G41,9.99E+9)</f>
        <v/>
      </c>
      <c r="M41" s="130">
        <f>IF(ISNUMBER($C41),$C41,0)</f>
        <v/>
      </c>
    </row>
    <row r="42">
      <c r="A42" s="120">
        <f>IF($B42="","",10)</f>
        <v/>
      </c>
      <c r="B42" s="128" t="inlineStr"/>
      <c r="C42" s="117" t="n"/>
      <c r="D42" s="129">
        <f>IF($B42="","",IFERROR(VLOOKUP($B42,RU_Table,2,FALSE),""))</f>
        <v/>
      </c>
      <c r="E42" s="129">
        <f>IF(OR($B42="",$C42="",$D42=""),"",$D42*$C42)</f>
        <v/>
      </c>
      <c r="F42" s="70">
        <f>IF($B42="","",IFERROR(VLOOKUP($B42,RU_Table,3,FALSE),""))</f>
        <v/>
      </c>
      <c r="G42" s="71">
        <f>IF($B42="","",IFERROR(VLOOKUP($B42,RU_Table,4,FALSE),""))</f>
        <v/>
      </c>
      <c r="H42" s="58">
        <f>IF(OR($E42="",$F42=""),"",$F42^2/1029.4*$E42)</f>
        <v/>
      </c>
      <c r="I42" s="130">
        <f>IF(ISNUMBER($E42),$E42,0)</f>
        <v/>
      </c>
      <c r="J42" s="130">
        <f>IF(ISNUMBER($H42),$H42,0)</f>
        <v/>
      </c>
      <c r="K42" s="130">
        <f>IF(ISNUMBER($F42),$F42,9.99E+9)</f>
        <v/>
      </c>
      <c r="L42" s="130">
        <f>IF(ISNUMBER($G42),$G42,9.99E+9)</f>
        <v/>
      </c>
      <c r="M42" s="130">
        <f>IF(ISNUMBER($C42),$C42,0)</f>
        <v/>
      </c>
    </row>
    <row r="43">
      <c r="A43" s="120">
        <f>IF($B43="","",11)</f>
        <v/>
      </c>
      <c r="B43" s="128" t="inlineStr"/>
      <c r="C43" s="117" t="n"/>
      <c r="D43" s="129">
        <f>IF($B43="","",IFERROR(VLOOKUP($B43,RU_Table,2,FALSE),""))</f>
        <v/>
      </c>
      <c r="E43" s="129">
        <f>IF(OR($B43="",$C43="",$D43=""),"",$D43*$C43)</f>
        <v/>
      </c>
      <c r="F43" s="70">
        <f>IF($B43="","",IFERROR(VLOOKUP($B43,RU_Table,3,FALSE),""))</f>
        <v/>
      </c>
      <c r="G43" s="71">
        <f>IF($B43="","",IFERROR(VLOOKUP($B43,RU_Table,4,FALSE),""))</f>
        <v/>
      </c>
      <c r="H43" s="58">
        <f>IF(OR($E43="",$F43=""),"",$F43^2/1029.4*$E43)</f>
        <v/>
      </c>
      <c r="I43" s="130">
        <f>IF(ISNUMBER($E43),$E43,0)</f>
        <v/>
      </c>
      <c r="J43" s="130">
        <f>IF(ISNUMBER($H43),$H43,0)</f>
        <v/>
      </c>
      <c r="K43" s="130">
        <f>IF(ISNUMBER($F43),$F43,9.99E+9)</f>
        <v/>
      </c>
      <c r="L43" s="130">
        <f>IF(ISNUMBER($G43),$G43,9.99E+9)</f>
        <v/>
      </c>
      <c r="M43" s="130">
        <f>IF(ISNUMBER($C43),$C43,0)</f>
        <v/>
      </c>
    </row>
    <row r="44">
      <c r="A44" s="120">
        <f>IF($B44="","",12)</f>
        <v/>
      </c>
      <c r="B44" s="128" t="inlineStr"/>
      <c r="C44" s="117" t="n"/>
      <c r="D44" s="129">
        <f>IF($B44="","",IFERROR(VLOOKUP($B44,RU_Table,2,FALSE),""))</f>
        <v/>
      </c>
      <c r="E44" s="129">
        <f>IF(OR($B44="",$C44="",$D44=""),"",$D44*$C44)</f>
        <v/>
      </c>
      <c r="F44" s="70">
        <f>IF($B44="","",IFERROR(VLOOKUP($B44,RU_Table,3,FALSE),""))</f>
        <v/>
      </c>
      <c r="G44" s="71">
        <f>IF($B44="","",IFERROR(VLOOKUP($B44,RU_Table,4,FALSE),""))</f>
        <v/>
      </c>
      <c r="H44" s="58">
        <f>IF(OR($E44="",$F44=""),"",$F44^2/1029.4*$E44)</f>
        <v/>
      </c>
      <c r="I44" s="130">
        <f>IF(ISNUMBER($E44),$E44,0)</f>
        <v/>
      </c>
      <c r="J44" s="130">
        <f>IF(ISNUMBER($H44),$H44,0)</f>
        <v/>
      </c>
      <c r="K44" s="130">
        <f>IF(ISNUMBER($F44),$F44,9.99E+9)</f>
        <v/>
      </c>
      <c r="L44" s="130">
        <f>IF(ISNUMBER($G44),$G44,9.99E+9)</f>
        <v/>
      </c>
      <c r="M44" s="130">
        <f>IF(ISNUMBER($C44),$C44,0)</f>
        <v/>
      </c>
    </row>
    <row r="45">
      <c r="A45" s="120">
        <f>IF($B45="","",13)</f>
        <v/>
      </c>
      <c r="B45" s="128" t="inlineStr"/>
      <c r="C45" s="117" t="n"/>
      <c r="D45" s="129">
        <f>IF($B45="","",IFERROR(VLOOKUP($B45,RU_Table,2,FALSE),""))</f>
        <v/>
      </c>
      <c r="E45" s="129">
        <f>IF(OR($B45="",$C45="",$D45=""),"",$D45*$C45)</f>
        <v/>
      </c>
      <c r="F45" s="70">
        <f>IF($B45="","",IFERROR(VLOOKUP($B45,RU_Table,3,FALSE),""))</f>
        <v/>
      </c>
      <c r="G45" s="71">
        <f>IF($B45="","",IFERROR(VLOOKUP($B45,RU_Table,4,FALSE),""))</f>
        <v/>
      </c>
      <c r="H45" s="58">
        <f>IF(OR($E45="",$F45=""),"",$F45^2/1029.4*$E45)</f>
        <v/>
      </c>
      <c r="I45" s="130">
        <f>IF(ISNUMBER($E45),$E45,0)</f>
        <v/>
      </c>
      <c r="J45" s="130">
        <f>IF(ISNUMBER($H45),$H45,0)</f>
        <v/>
      </c>
      <c r="K45" s="130">
        <f>IF(ISNUMBER($F45),$F45,9.99E+9)</f>
        <v/>
      </c>
      <c r="L45" s="130">
        <f>IF(ISNUMBER($G45),$G45,9.99E+9)</f>
        <v/>
      </c>
      <c r="M45" s="130">
        <f>IF(ISNUMBER($C45),$C45,0)</f>
        <v/>
      </c>
    </row>
    <row r="46">
      <c r="A46" s="120">
        <f>IF($B46="","",14)</f>
        <v/>
      </c>
      <c r="B46" s="128" t="inlineStr"/>
      <c r="C46" s="117" t="n"/>
      <c r="D46" s="129">
        <f>IF($B46="","",IFERROR(VLOOKUP($B46,RU_Table,2,FALSE),""))</f>
        <v/>
      </c>
      <c r="E46" s="129">
        <f>IF(OR($B46="",$C46="",$D46=""),"",$D46*$C46)</f>
        <v/>
      </c>
      <c r="F46" s="70">
        <f>IF($B46="","",IFERROR(VLOOKUP($B46,RU_Table,3,FALSE),""))</f>
        <v/>
      </c>
      <c r="G46" s="71">
        <f>IF($B46="","",IFERROR(VLOOKUP($B46,RU_Table,4,FALSE),""))</f>
        <v/>
      </c>
      <c r="H46" s="58">
        <f>IF(OR($E46="",$F46=""),"",$F46^2/1029.4*$E46)</f>
        <v/>
      </c>
      <c r="I46" s="130">
        <f>IF(ISNUMBER($E46),$E46,0)</f>
        <v/>
      </c>
      <c r="J46" s="130">
        <f>IF(ISNUMBER($H46),$H46,0)</f>
        <v/>
      </c>
      <c r="K46" s="130">
        <f>IF(ISNUMBER($F46),$F46,9.99E+9)</f>
        <v/>
      </c>
      <c r="L46" s="130">
        <f>IF(ISNUMBER($G46),$G46,9.99E+9)</f>
        <v/>
      </c>
      <c r="M46" s="130">
        <f>IF(ISNUMBER($C46),$C46,0)</f>
        <v/>
      </c>
    </row>
    <row r="47">
      <c r="A47" s="120">
        <f>IF($B47="","",15)</f>
        <v/>
      </c>
      <c r="B47" s="128" t="inlineStr"/>
      <c r="C47" s="117" t="n"/>
      <c r="D47" s="129">
        <f>IF($B47="","",IFERROR(VLOOKUP($B47,RU_Table,2,FALSE),""))</f>
        <v/>
      </c>
      <c r="E47" s="129">
        <f>IF(OR($B47="",$C47="",$D47=""),"",$D47*$C47)</f>
        <v/>
      </c>
      <c r="F47" s="70">
        <f>IF($B47="","",IFERROR(VLOOKUP($B47,RU_Table,3,FALSE),""))</f>
        <v/>
      </c>
      <c r="G47" s="71">
        <f>IF($B47="","",IFERROR(VLOOKUP($B47,RU_Table,4,FALSE),""))</f>
        <v/>
      </c>
      <c r="H47" s="58">
        <f>IF(OR($E47="",$F47=""),"",$F47^2/1029.4*$E47)</f>
        <v/>
      </c>
      <c r="I47" s="130">
        <f>IF(ISNUMBER($E47),$E47,0)</f>
        <v/>
      </c>
      <c r="J47" s="130">
        <f>IF(ISNUMBER($H47),$H47,0)</f>
        <v/>
      </c>
      <c r="K47" s="130">
        <f>IF(ISNUMBER($F47),$F47,9.99E+9)</f>
        <v/>
      </c>
      <c r="L47" s="130">
        <f>IF(ISNUMBER($G47),$G47,9.99E+9)</f>
        <v/>
      </c>
      <c r="M47" s="130">
        <f>IF(ISNUMBER($C47),$C47,0)</f>
        <v/>
      </c>
    </row>
    <row r="48">
      <c r="A48" s="120">
        <f>IF($B48="","",16)</f>
        <v/>
      </c>
      <c r="B48" s="128" t="inlineStr"/>
      <c r="C48" s="117" t="n"/>
      <c r="D48" s="129">
        <f>IF($B48="","",IFERROR(VLOOKUP($B48,RU_Table,2,FALSE),""))</f>
        <v/>
      </c>
      <c r="E48" s="129">
        <f>IF(OR($B48="",$C48="",$D48=""),"",$D48*$C48)</f>
        <v/>
      </c>
      <c r="F48" s="70">
        <f>IF($B48="","",IFERROR(VLOOKUP($B48,RU_Table,3,FALSE),""))</f>
        <v/>
      </c>
      <c r="G48" s="71">
        <f>IF($B48="","",IFERROR(VLOOKUP($B48,RU_Table,4,FALSE),""))</f>
        <v/>
      </c>
      <c r="H48" s="58">
        <f>IF(OR($E48="",$F48=""),"",$F48^2/1029.4*$E48)</f>
        <v/>
      </c>
      <c r="I48" s="130">
        <f>IF(ISNUMBER($E48),$E48,0)</f>
        <v/>
      </c>
      <c r="J48" s="130">
        <f>IF(ISNUMBER($H48),$H48,0)</f>
        <v/>
      </c>
      <c r="K48" s="130">
        <f>IF(ISNUMBER($F48),$F48,9.99E+9)</f>
        <v/>
      </c>
      <c r="L48" s="130">
        <f>IF(ISNUMBER($G48),$G48,9.99E+9)</f>
        <v/>
      </c>
      <c r="M48" s="130">
        <f>IF(ISNUMBER($C48),$C48,0)</f>
        <v/>
      </c>
    </row>
    <row r="49">
      <c r="A49" s="120">
        <f>IF($B49="","",17)</f>
        <v/>
      </c>
      <c r="B49" s="128" t="inlineStr"/>
      <c r="C49" s="117" t="n"/>
      <c r="D49" s="129">
        <f>IF($B49="","",IFERROR(VLOOKUP($B49,RU_Table,2,FALSE),""))</f>
        <v/>
      </c>
      <c r="E49" s="129">
        <f>IF(OR($B49="",$C49="",$D49=""),"",$D49*$C49)</f>
        <v/>
      </c>
      <c r="F49" s="70">
        <f>IF($B49="","",IFERROR(VLOOKUP($B49,RU_Table,3,FALSE),""))</f>
        <v/>
      </c>
      <c r="G49" s="71">
        <f>IF($B49="","",IFERROR(VLOOKUP($B49,RU_Table,4,FALSE),""))</f>
        <v/>
      </c>
      <c r="H49" s="58">
        <f>IF(OR($E49="",$F49=""),"",$F49^2/1029.4*$E49)</f>
        <v/>
      </c>
      <c r="I49" s="130">
        <f>IF(ISNUMBER($E49),$E49,0)</f>
        <v/>
      </c>
      <c r="J49" s="130">
        <f>IF(ISNUMBER($H49),$H49,0)</f>
        <v/>
      </c>
      <c r="K49" s="130">
        <f>IF(ISNUMBER($F49),$F49,9.99E+9)</f>
        <v/>
      </c>
      <c r="L49" s="130">
        <f>IF(ISNUMBER($G49),$G49,9.99E+9)</f>
        <v/>
      </c>
      <c r="M49" s="130">
        <f>IF(ISNUMBER($C49),$C49,0)</f>
        <v/>
      </c>
    </row>
    <row r="50">
      <c r="A50" s="120">
        <f>IF($B50="","",18)</f>
        <v/>
      </c>
      <c r="B50" s="128" t="inlineStr"/>
      <c r="C50" s="117" t="n"/>
      <c r="D50" s="129">
        <f>IF($B50="","",IFERROR(VLOOKUP($B50,RU_Table,2,FALSE),""))</f>
        <v/>
      </c>
      <c r="E50" s="129">
        <f>IF(OR($B50="",$C50="",$D50=""),"",$D50*$C50)</f>
        <v/>
      </c>
      <c r="F50" s="70">
        <f>IF($B50="","",IFERROR(VLOOKUP($B50,RU_Table,3,FALSE),""))</f>
        <v/>
      </c>
      <c r="G50" s="71">
        <f>IF($B50="","",IFERROR(VLOOKUP($B50,RU_Table,4,FALSE),""))</f>
        <v/>
      </c>
      <c r="H50" s="58">
        <f>IF(OR($E50="",$F50=""),"",$F50^2/1029.4*$E50)</f>
        <v/>
      </c>
      <c r="I50" s="130">
        <f>IF(ISNUMBER($E50),$E50,0)</f>
        <v/>
      </c>
      <c r="J50" s="130">
        <f>IF(ISNUMBER($H50),$H50,0)</f>
        <v/>
      </c>
      <c r="K50" s="130">
        <f>IF(ISNUMBER($F50),$F50,9.99E+9)</f>
        <v/>
      </c>
      <c r="L50" s="130">
        <f>IF(ISNUMBER($G50),$G50,9.99E+9)</f>
        <v/>
      </c>
      <c r="M50" s="130">
        <f>IF(ISNUMBER($C50),$C50,0)</f>
        <v/>
      </c>
    </row>
    <row r="51">
      <c r="A51" s="120">
        <f>IF($B51="","",19)</f>
        <v/>
      </c>
      <c r="B51" s="128" t="inlineStr"/>
      <c r="C51" s="117" t="n"/>
      <c r="D51" s="129">
        <f>IF($B51="","",IFERROR(VLOOKUP($B51,RU_Table,2,FALSE),""))</f>
        <v/>
      </c>
      <c r="E51" s="129">
        <f>IF(OR($B51="",$C51="",$D51=""),"",$D51*$C51)</f>
        <v/>
      </c>
      <c r="F51" s="70">
        <f>IF($B51="","",IFERROR(VLOOKUP($B51,RU_Table,3,FALSE),""))</f>
        <v/>
      </c>
      <c r="G51" s="71">
        <f>IF($B51="","",IFERROR(VLOOKUP($B51,RU_Table,4,FALSE),""))</f>
        <v/>
      </c>
      <c r="H51" s="58">
        <f>IF(OR($E51="",$F51=""),"",$F51^2/1029.4*$E51)</f>
        <v/>
      </c>
      <c r="I51" s="130">
        <f>IF(ISNUMBER($E51),$E51,0)</f>
        <v/>
      </c>
      <c r="J51" s="130">
        <f>IF(ISNUMBER($H51),$H51,0)</f>
        <v/>
      </c>
      <c r="K51" s="130">
        <f>IF(ISNUMBER($F51),$F51,9.99E+9)</f>
        <v/>
      </c>
      <c r="L51" s="130">
        <f>IF(ISNUMBER($G51),$G51,9.99E+9)</f>
        <v/>
      </c>
      <c r="M51" s="130">
        <f>IF(ISNUMBER($C51),$C51,0)</f>
        <v/>
      </c>
    </row>
    <row r="52">
      <c r="A52" s="120">
        <f>IF($B52="","",20)</f>
        <v/>
      </c>
      <c r="B52" s="128" t="inlineStr"/>
      <c r="C52" s="117" t="n"/>
      <c r="D52" s="129">
        <f>IF($B52="","",IFERROR(VLOOKUP($B52,RU_Table,2,FALSE),""))</f>
        <v/>
      </c>
      <c r="E52" s="129">
        <f>IF(OR($B52="",$C52="",$D52=""),"",$D52*$C52)</f>
        <v/>
      </c>
      <c r="F52" s="70">
        <f>IF($B52="","",IFERROR(VLOOKUP($B52,RU_Table,3,FALSE),""))</f>
        <v/>
      </c>
      <c r="G52" s="71">
        <f>IF($B52="","",IFERROR(VLOOKUP($B52,RU_Table,4,FALSE),""))</f>
        <v/>
      </c>
      <c r="H52" s="58">
        <f>IF(OR($E52="",$F52=""),"",$F52^2/1029.4*$E52)</f>
        <v/>
      </c>
      <c r="I52" s="130">
        <f>IF(ISNUMBER($E52),$E52,0)</f>
        <v/>
      </c>
      <c r="J52" s="130">
        <f>IF(ISNUMBER($H52),$H52,0)</f>
        <v/>
      </c>
      <c r="K52" s="130">
        <f>IF(ISNUMBER($F52),$F52,9.99E+9)</f>
        <v/>
      </c>
      <c r="L52" s="130">
        <f>IF(ISNUMBER($G52),$G52,9.99E+9)</f>
        <v/>
      </c>
      <c r="M52" s="130">
        <f>IF(ISNUMBER($C52),$C52,0)</f>
        <v/>
      </c>
    </row>
    <row r="53">
      <c r="A53" s="120">
        <f>IF($B53="","",21)</f>
        <v/>
      </c>
      <c r="B53" s="128" t="inlineStr"/>
      <c r="C53" s="117" t="n"/>
      <c r="D53" s="129">
        <f>IF($B53="","",IFERROR(VLOOKUP($B53,RU_Table,2,FALSE),""))</f>
        <v/>
      </c>
      <c r="E53" s="129">
        <f>IF(OR($B53="",$C53="",$D53=""),"",$D53*$C53)</f>
        <v/>
      </c>
      <c r="F53" s="70">
        <f>IF($B53="","",IFERROR(VLOOKUP($B53,RU_Table,3,FALSE),""))</f>
        <v/>
      </c>
      <c r="G53" s="71">
        <f>IF($B53="","",IFERROR(VLOOKUP($B53,RU_Table,4,FALSE),""))</f>
        <v/>
      </c>
      <c r="H53" s="58">
        <f>IF(OR($E53="",$F53=""),"",$F53^2/1029.4*$E53)</f>
        <v/>
      </c>
      <c r="I53" s="130">
        <f>IF(ISNUMBER($E53),$E53,0)</f>
        <v/>
      </c>
      <c r="J53" s="130">
        <f>IF(ISNUMBER($H53),$H53,0)</f>
        <v/>
      </c>
      <c r="K53" s="130">
        <f>IF(ISNUMBER($F53),$F53,9.99E+9)</f>
        <v/>
      </c>
      <c r="L53" s="130">
        <f>IF(ISNUMBER($G53),$G53,9.99E+9)</f>
        <v/>
      </c>
      <c r="M53" s="130">
        <f>IF(ISNUMBER($C53),$C53,0)</f>
        <v/>
      </c>
    </row>
    <row r="54">
      <c r="A54" s="120">
        <f>IF($B54="","",22)</f>
        <v/>
      </c>
      <c r="B54" s="128" t="inlineStr"/>
      <c r="C54" s="117" t="n"/>
      <c r="D54" s="129">
        <f>IF($B54="","",IFERROR(VLOOKUP($B54,RU_Table,2,FALSE),""))</f>
        <v/>
      </c>
      <c r="E54" s="129">
        <f>IF(OR($B54="",$C54="",$D54=""),"",$D54*$C54)</f>
        <v/>
      </c>
      <c r="F54" s="70">
        <f>IF($B54="","",IFERROR(VLOOKUP($B54,RU_Table,3,FALSE),""))</f>
        <v/>
      </c>
      <c r="G54" s="71">
        <f>IF($B54="","",IFERROR(VLOOKUP($B54,RU_Table,4,FALSE),""))</f>
        <v/>
      </c>
      <c r="H54" s="58">
        <f>IF(OR($E54="",$F54=""),"",$F54^2/1029.4*$E54)</f>
        <v/>
      </c>
      <c r="I54" s="130">
        <f>IF(ISNUMBER($E54),$E54,0)</f>
        <v/>
      </c>
      <c r="J54" s="130">
        <f>IF(ISNUMBER($H54),$H54,0)</f>
        <v/>
      </c>
      <c r="K54" s="130">
        <f>IF(ISNUMBER($F54),$F54,9.99E+9)</f>
        <v/>
      </c>
      <c r="L54" s="130">
        <f>IF(ISNUMBER($G54),$G54,9.99E+9)</f>
        <v/>
      </c>
      <c r="M54" s="130">
        <f>IF(ISNUMBER($C54),$C54,0)</f>
        <v/>
      </c>
    </row>
    <row r="55">
      <c r="A55" s="120">
        <f>IF($B55="","",23)</f>
        <v/>
      </c>
      <c r="B55" s="128" t="inlineStr"/>
      <c r="C55" s="117" t="n"/>
      <c r="D55" s="129">
        <f>IF($B55="","",IFERROR(VLOOKUP($B55,RU_Table,2,FALSE),""))</f>
        <v/>
      </c>
      <c r="E55" s="129">
        <f>IF(OR($B55="",$C55="",$D55=""),"",$D55*$C55)</f>
        <v/>
      </c>
      <c r="F55" s="70">
        <f>IF($B55="","",IFERROR(VLOOKUP($B55,RU_Table,3,FALSE),""))</f>
        <v/>
      </c>
      <c r="G55" s="71">
        <f>IF($B55="","",IFERROR(VLOOKUP($B55,RU_Table,4,FALSE),""))</f>
        <v/>
      </c>
      <c r="H55" s="58">
        <f>IF(OR($E55="",$F55=""),"",$F55^2/1029.4*$E55)</f>
        <v/>
      </c>
      <c r="I55" s="130">
        <f>IF(ISNUMBER($E55),$E55,0)</f>
        <v/>
      </c>
      <c r="J55" s="130">
        <f>IF(ISNUMBER($H55),$H55,0)</f>
        <v/>
      </c>
      <c r="K55" s="130">
        <f>IF(ISNUMBER($F55),$F55,9.99E+9)</f>
        <v/>
      </c>
      <c r="L55" s="130">
        <f>IF(ISNUMBER($G55),$G55,9.99E+9)</f>
        <v/>
      </c>
      <c r="M55" s="130">
        <f>IF(ISNUMBER($C55),$C55,0)</f>
        <v/>
      </c>
    </row>
    <row r="56">
      <c r="A56" s="120">
        <f>IF($B56="","",24)</f>
        <v/>
      </c>
      <c r="B56" s="128" t="inlineStr"/>
      <c r="C56" s="117" t="n"/>
      <c r="D56" s="129">
        <f>IF($B56="","",IFERROR(VLOOKUP($B56,RU_Table,2,FALSE),""))</f>
        <v/>
      </c>
      <c r="E56" s="129">
        <f>IF(OR($B56="",$C56="",$D56=""),"",$D56*$C56)</f>
        <v/>
      </c>
      <c r="F56" s="70">
        <f>IF($B56="","",IFERROR(VLOOKUP($B56,RU_Table,3,FALSE),""))</f>
        <v/>
      </c>
      <c r="G56" s="71">
        <f>IF($B56="","",IFERROR(VLOOKUP($B56,RU_Table,4,FALSE),""))</f>
        <v/>
      </c>
      <c r="H56" s="58">
        <f>IF(OR($E56="",$F56=""),"",$F56^2/1029.4*$E56)</f>
        <v/>
      </c>
      <c r="I56" s="130">
        <f>IF(ISNUMBER($E56),$E56,0)</f>
        <v/>
      </c>
      <c r="J56" s="130">
        <f>IF(ISNUMBER($H56),$H56,0)</f>
        <v/>
      </c>
      <c r="K56" s="130">
        <f>IF(ISNUMBER($F56),$F56,9.99E+9)</f>
        <v/>
      </c>
      <c r="L56" s="130">
        <f>IF(ISNUMBER($G56),$G56,9.99E+9)</f>
        <v/>
      </c>
      <c r="M56" s="130">
        <f>IF(ISNUMBER($C56),$C56,0)</f>
        <v/>
      </c>
    </row>
    <row r="58" ht="20" customHeight="1">
      <c r="A58" s="23" t="inlineStr">
        <is>
          <t>3. Line Tally &amp; Test Check</t>
        </is>
      </c>
      <c r="B58" s="24" t="n"/>
      <c r="C58" s="24" t="n"/>
      <c r="D58" s="24" t="n"/>
      <c r="E58" s="24" t="n"/>
      <c r="F58" s="24" t="n"/>
    </row>
    <row r="60">
      <c r="A60" s="25" t="inlineStr">
        <is>
          <t>Rig-Up Tally</t>
        </is>
      </c>
      <c r="B60" s="26" t="n"/>
      <c r="C60" s="26" t="n"/>
      <c r="D60" s="26" t="n"/>
      <c r="E60" s="26" t="n"/>
      <c r="F60" s="49" t="inlineStr">
        <is>
          <t>Volume = ID^2/1029.4 x length [bbl];  restriction = MIN(ID); rating = MIN(CWP)</t>
        </is>
      </c>
    </row>
    <row r="61">
      <c r="A61" t="inlineStr"/>
      <c r="F61" s="27" t="inlineStr">
        <is>
          <t>The minimum ID sets ball/dart/plug sizes and pump-down restrictions; the minimum rating sets the line test limit.</t>
        </is>
      </c>
    </row>
    <row r="62">
      <c r="A62" s="28" t="inlineStr">
        <is>
          <t>Total iron footage</t>
        </is>
      </c>
      <c r="B62" s="54">
        <f>SUM($I$33:$I$56)</f>
        <v/>
      </c>
      <c r="C62" s="30" t="inlineStr">
        <is>
          <t>ft</t>
        </is>
      </c>
      <c r="D62" s="40">
        <f>IFERROR($B$62*0.3048,NA())</f>
        <v/>
      </c>
      <c r="E62" s="30" t="inlineStr">
        <is>
          <t>m</t>
        </is>
      </c>
    </row>
    <row r="63">
      <c r="A63" s="28" t="inlineStr">
        <is>
          <t>Total line volume</t>
        </is>
      </c>
      <c r="B63" s="50">
        <f>SUM($J$33:$J$56)</f>
        <v/>
      </c>
      <c r="C63" s="30" t="inlineStr">
        <is>
          <t>bbl</t>
        </is>
      </c>
      <c r="D63" s="34">
        <f>IFERROR($B$63*0.1589873,NA())</f>
        <v/>
      </c>
      <c r="E63" s="30" t="inlineStr">
        <is>
          <t>m3</t>
        </is>
      </c>
    </row>
    <row r="64">
      <c r="A64" s="28" t="inlineStr">
        <is>
          <t>Total line volume</t>
        </is>
      </c>
      <c r="B64" s="54">
        <f>$B$63*42</f>
        <v/>
      </c>
      <c r="C64" s="30" t="inlineStr">
        <is>
          <t>gal</t>
        </is>
      </c>
      <c r="D64" s="40">
        <f>IFERROR($B$64*3.785412,NA())</f>
        <v/>
      </c>
      <c r="E64" s="30" t="inlineStr">
        <is>
          <t>L</t>
        </is>
      </c>
    </row>
    <row r="65">
      <c r="A65" s="28" t="inlineStr">
        <is>
          <t>Minimum ID (restriction)</t>
        </is>
      </c>
      <c r="B65" s="51">
        <f>MIN($K$33:$K$56)</f>
        <v/>
      </c>
      <c r="C65" s="30" t="inlineStr">
        <is>
          <t>in</t>
        </is>
      </c>
      <c r="D65" s="42">
        <f>IFERROR($B$65*25.4,NA())</f>
        <v/>
      </c>
      <c r="E65" s="30" t="inlineStr">
        <is>
          <t>mm</t>
        </is>
      </c>
    </row>
    <row r="66">
      <c r="A66" s="28" t="inlineStr">
        <is>
          <t>Minimum rating in path</t>
        </is>
      </c>
      <c r="B66" s="59">
        <f>MIN($L$33:$L$56)</f>
        <v/>
      </c>
      <c r="C66" s="30" t="inlineStr">
        <is>
          <t>psi</t>
        </is>
      </c>
      <c r="D66" s="32">
        <f>IFERROR($B$66*6.894757,NA())</f>
        <v/>
      </c>
      <c r="E66" s="30" t="inlineStr">
        <is>
          <t>kPa</t>
        </is>
      </c>
    </row>
    <row r="67">
      <c r="A67" s="28" t="inlineStr">
        <is>
          <t>Swivel count in path</t>
        </is>
      </c>
      <c r="B67" s="101">
        <f>IFERROR(SUMPRODUCT(ISNUMBER(SEARCH("swivel",$B$33:$B$56))*$M$33:$M$56),0)</f>
        <v/>
      </c>
      <c r="C67" s="30" t="inlineStr"/>
      <c r="F67" s="27" t="inlineStr">
        <is>
          <t>Chiksan swivels in the path - see minimum-count guidance below.</t>
        </is>
      </c>
    </row>
    <row r="69">
      <c r="A69" s="25" t="inlineStr">
        <is>
          <t>Line Test vs Component Ratings</t>
        </is>
      </c>
      <c r="B69" s="26" t="n"/>
      <c r="C69" s="26" t="n"/>
      <c r="D69" s="26" t="n"/>
      <c r="E69" s="26" t="n"/>
      <c r="F69" s="49" t="inlineStr">
        <is>
          <t>Test pressure = max anticipated x test factor</t>
        </is>
      </c>
    </row>
    <row r="70">
      <c r="A70" t="inlineStr"/>
      <c r="F70" s="27" t="inlineStr">
        <is>
          <t>Test the line against a CLOSED VALVE at the wellhead before pumping. The hammer hose (10,000 psi CWP) governs the line rating whenever it is in the path.</t>
        </is>
      </c>
    </row>
    <row r="71">
      <c r="A71" s="28" t="inlineStr">
        <is>
          <t>Max anticipated treating pressure</t>
        </is>
      </c>
      <c r="B71" s="31" t="n">
        <v>9500</v>
      </c>
      <c r="C71" s="30" t="inlineStr">
        <is>
          <t>psi</t>
        </is>
      </c>
      <c r="D71" s="32">
        <f>IFERROR($B$71*6.894757,NA())</f>
        <v/>
      </c>
      <c r="E71" s="30" t="inlineStr">
        <is>
          <t>kPa</t>
        </is>
      </c>
    </row>
    <row r="72">
      <c r="A72" s="28" t="inlineStr">
        <is>
          <t>Line test factor</t>
        </is>
      </c>
      <c r="B72" s="41" t="n">
        <v>1.1</v>
      </c>
      <c r="C72" s="30" t="inlineStr"/>
      <c r="F72" s="27" t="inlineStr">
        <is>
          <t>Typical 1.1 x max anticipated, never above the lowest CWP.</t>
        </is>
      </c>
    </row>
    <row r="73">
      <c r="A73" s="28" t="inlineStr">
        <is>
          <t>Line test pressure</t>
        </is>
      </c>
      <c r="B73" s="59">
        <f>$B$71*$B$72</f>
        <v/>
      </c>
      <c r="C73" s="30" t="inlineStr">
        <is>
          <t>psi</t>
        </is>
      </c>
      <c r="D73" s="32">
        <f>IFERROR($B$73*6.894757,NA())</f>
        <v/>
      </c>
      <c r="E73" s="30" t="inlineStr">
        <is>
          <t>kPa</t>
        </is>
      </c>
    </row>
    <row r="74">
      <c r="A74" s="28" t="inlineStr">
        <is>
          <t>Line test status</t>
        </is>
      </c>
      <c r="B74" s="72">
        <f>IF($B$73&lt;=$B$66,"OK - test below lowest-rated component",IF($B$71&lt;=$B$66,"MARGINAL - test EXCEEDS a component rating - retest plan needed","CHECK: anticipated EXCEEDS lowest component rating - DO NOT pump"))</f>
        <v/>
      </c>
      <c r="C74" s="30" t="inlineStr"/>
    </row>
    <row r="76" ht="20" customHeight="1">
      <c r="A76" s="23" t="inlineStr">
        <is>
          <t>4. Displacement &amp; Safety Notes</t>
        </is>
      </c>
      <c r="B76" s="24" t="n"/>
      <c r="C76" s="24" t="n"/>
      <c r="D76" s="24" t="n"/>
      <c r="E76" s="24" t="n"/>
      <c r="F76" s="24" t="n"/>
    </row>
    <row r="78">
      <c r="A78" s="25" t="inlineStr">
        <is>
          <t>Displacement</t>
        </is>
      </c>
      <c r="B78" s="26" t="n"/>
      <c r="C78" s="26" t="n"/>
      <c r="D78" s="26" t="n"/>
      <c r="E78" s="26" t="n"/>
      <c r="F78" s="26" t="n"/>
    </row>
    <row r="79">
      <c r="A79" t="inlineStr"/>
      <c r="F79" s="27" t="inlineStr">
        <is>
          <t>Add the pump-to-wellhead line volume above to every displacement and pump-down calculation - the wellbore only sees fluid after the line is full.</t>
        </is>
      </c>
    </row>
    <row r="80">
      <c r="A80" s="27" t="inlineStr">
        <is>
          <t>Line volume adds to displacement</t>
        </is>
      </c>
      <c r="F80" s="27" t="inlineStr">
        <is>
          <t>Surface line volume (Total line volume above) is dead volume between the pump stroke counter and the wellhead: add it to spot, displacement and pump-down volumes on the Kill Sheet and Well Kill Operations sheets, and subtract it when flow-checking returns.</t>
        </is>
      </c>
    </row>
    <row r="81">
      <c r="A81" s="27" t="inlineStr">
        <is>
          <t>Hammer-union safety</t>
        </is>
      </c>
      <c r="F81" s="27" t="inlineStr">
        <is>
          <t>Verify matched wing/thread halves on every hammer union - a 1502 wing on a 602 thread will make up but WILL part under pressure. No 1502 x 602 mismatches anywhere in the line.</t>
        </is>
      </c>
    </row>
    <row r="82">
      <c r="A82" s="27" t="inlineStr">
        <is>
          <t>Line restraint</t>
        </is>
      </c>
      <c r="F82" s="27" t="inlineStr">
        <is>
          <t>Restrain the line at every change of direction and at the wellhead - whip checks / restraint slings sized for the line, anchored to fixed points, with personnel excluded from the line path while pressurized.</t>
        </is>
      </c>
    </row>
    <row r="83">
      <c r="A83" s="27" t="inlineStr">
        <is>
          <t>Swivel minimum count</t>
        </is>
      </c>
      <c r="F83" s="27" t="inlineStr">
        <is>
          <t>Use at least three swivel planes between pump and wellhead so the line can absorb thermal growth, vibration and rig-up misalignment without side-loading the unions.</t>
        </is>
      </c>
    </row>
    <row r="84">
      <c r="A84" s="27" t="inlineStr">
        <is>
          <t>Test against the wellhead valve</t>
        </is>
      </c>
      <c r="F84" s="27" t="inlineStr">
        <is>
          <t>Pressure test against a closed valve at the wellhead (crown or master per the barrier plan) - never against the swab valve alone, and never test into the well.</t>
        </is>
      </c>
    </row>
  </sheetData>
  <sheetProtection selectLockedCells="0" selectUnlockedCells="0" sheet="1" objects="0" insertRows="1" insertHyperlinks="1" autoFilter="1" scenarios="0" formatColumns="0" deleteColumns="1" insertColumns="1" pivotTables="1" deleteRows="1" formatCells="1" formatRows="0" sort="1"/>
  <mergeCells count="6">
    <mergeCell ref="A2:F2"/>
    <mergeCell ref="A76:F76"/>
    <mergeCell ref="A1:F1"/>
    <mergeCell ref="A6:F6"/>
    <mergeCell ref="A58:F58"/>
    <mergeCell ref="A30:F30"/>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dataValidations count="1">
    <dataValidation sqref="B33:B56" showDropDown="0" showInputMessage="0" showErrorMessage="0" allowBlank="1" type="list">
      <formula1>=RU_Names</formula1>
    </dataValidation>
  </dataValidations>
  <pageMargins left="0.75" right="0.75" top="1" bottom="1" header="0.5" footer="0.5"/>
</worksheet>
</file>

<file path=xl/worksheets/sheet40.xml><?xml version="1.0" encoding="utf-8"?>
<worksheet xmlns="http://schemas.openxmlformats.org/spreadsheetml/2006/main">
  <sheetPr>
    <tabColor rgb="00C55A11"/>
    <outlinePr summaryBelow="1" summaryRight="1"/>
    <pageSetUpPr/>
  </sheetPr>
  <dimension ref="A1:F108"/>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Coiled Tubing Operations</t>
        </is>
      </c>
      <c r="B1" s="2" t="n"/>
      <c r="C1" s="2" t="n"/>
      <c r="D1" s="2" t="n"/>
      <c r="E1" s="2" t="n"/>
      <c r="F1" s="2" t="n"/>
    </row>
    <row r="2">
      <c r="A2" s="20" t="inlineStr">
        <is>
          <t>CT capacities, buoyed weight, ejection force, pull limits, cleanout hydraulics, nitrogen</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CT Geometry &amp; Capacities</t>
        </is>
      </c>
      <c r="B6" s="24" t="n"/>
      <c r="C6" s="24" t="n"/>
      <c r="D6" s="24" t="n"/>
      <c r="E6" s="24" t="n"/>
      <c r="F6" s="24" t="n"/>
    </row>
    <row r="8">
      <c r="A8" s="25" t="inlineStr">
        <is>
          <t>CT Capacity &amp; Displacement</t>
        </is>
      </c>
      <c r="B8" s="26" t="n"/>
      <c r="C8" s="26" t="n"/>
      <c r="D8" s="26" t="n"/>
      <c r="E8" s="26" t="n"/>
      <c r="F8" s="49" t="inlineStr">
        <is>
          <t>ID = OD - 2 x t;  Cap [bbl/ft] = ID^2 / 1029.4;  Disp closed-end [bbl/ft] = OD^2 / 1029.4</t>
        </is>
      </c>
    </row>
    <row r="9">
      <c r="A9" s="28" t="inlineStr">
        <is>
          <t>CT outside diameter (OD)</t>
        </is>
      </c>
      <c r="B9" s="33" t="n">
        <v>2</v>
      </c>
      <c r="C9" s="30" t="inlineStr">
        <is>
          <t>in</t>
        </is>
      </c>
      <c r="D9" s="34">
        <f>IFERROR($B$9*25.4,NA())</f>
        <v/>
      </c>
      <c r="E9" s="30" t="inlineStr">
        <is>
          <t>mm</t>
        </is>
      </c>
    </row>
    <row r="10">
      <c r="A10" s="28" t="inlineStr">
        <is>
          <t>CT wall thickness (t)</t>
        </is>
      </c>
      <c r="B10" s="33" t="n">
        <v>0.156</v>
      </c>
      <c r="C10" s="30" t="inlineStr">
        <is>
          <t>in</t>
        </is>
      </c>
      <c r="D10" s="34">
        <f>IFERROR($B$10*25.4,NA())</f>
        <v/>
      </c>
      <c r="E10" s="30" t="inlineStr">
        <is>
          <t>mm</t>
        </is>
      </c>
      <c r="F10" s="27" t="inlineStr">
        <is>
          <t>Single-wall value; tapered strings have several wall sections - use heaviest for limits.</t>
        </is>
      </c>
    </row>
    <row r="11">
      <c r="A11" s="28" t="inlineStr">
        <is>
          <t>CT inside diameter (ID)</t>
        </is>
      </c>
      <c r="B11" s="50">
        <f>$B$9-2*$B$10</f>
        <v/>
      </c>
      <c r="C11" s="30" t="inlineStr">
        <is>
          <t>in</t>
        </is>
      </c>
      <c r="D11" s="34">
        <f>IFERROR($B$11*25.4,NA())</f>
        <v/>
      </c>
      <c r="E11" s="30" t="inlineStr">
        <is>
          <t>mm</t>
        </is>
      </c>
    </row>
    <row r="12">
      <c r="A12" s="28" t="inlineStr">
        <is>
          <t>Internal capacity</t>
        </is>
      </c>
      <c r="B12" s="52">
        <f>$B$11^2/1029.4</f>
        <v/>
      </c>
      <c r="C12" s="30" t="inlineStr">
        <is>
          <t>bbl/ft</t>
        </is>
      </c>
      <c r="D12" s="53">
        <f>IFERROR($B$12*0.5216119,NA())</f>
        <v/>
      </c>
      <c r="E12" s="30" t="inlineStr">
        <is>
          <t>m3/m</t>
        </is>
      </c>
    </row>
    <row r="13">
      <c r="A13" s="28" t="inlineStr">
        <is>
          <t>Closed-end displacement</t>
        </is>
      </c>
      <c r="B13" s="52">
        <f>$B$9^2/1029.4</f>
        <v/>
      </c>
      <c r="C13" s="30" t="inlineStr">
        <is>
          <t>bbl/ft</t>
        </is>
      </c>
      <c r="D13" s="53">
        <f>IFERROR($B$13*0.5216119,NA())</f>
        <v/>
      </c>
      <c r="E13" s="30" t="inlineStr">
        <is>
          <t>m3/m</t>
        </is>
      </c>
    </row>
    <row r="14">
      <c r="A14" s="28" t="inlineStr">
        <is>
          <t>Steel displacement (open-end)</t>
        </is>
      </c>
      <c r="B14" s="52">
        <f>($B$9^2-$B$11^2)/1029.4</f>
        <v/>
      </c>
      <c r="C14" s="30" t="inlineStr">
        <is>
          <t>bbl/ft</t>
        </is>
      </c>
      <c r="D14" s="53">
        <f>IFERROR($B$14*0.5216119,NA())</f>
        <v/>
      </c>
      <c r="E14" s="30" t="inlineStr">
        <is>
          <t>m3/m</t>
        </is>
      </c>
    </row>
    <row r="16">
      <c r="A16" s="25" t="inlineStr">
        <is>
          <t>Reel &amp; Wellbore Volumes</t>
        </is>
      </c>
      <c r="B16" s="26" t="n"/>
      <c r="C16" s="26" t="n"/>
      <c r="D16" s="26" t="n"/>
      <c r="E16" s="26" t="n"/>
      <c r="F16" s="49" t="inlineStr">
        <is>
          <t>V = capacity [bbl/ft] x length [ft]</t>
        </is>
      </c>
    </row>
    <row r="17">
      <c r="A17" s="28" t="inlineStr">
        <is>
          <t>Total CT length on reel</t>
        </is>
      </c>
      <c r="B17" s="31" t="n">
        <v>15000</v>
      </c>
      <c r="C17" s="30" t="inlineStr">
        <is>
          <t>ft</t>
        </is>
      </c>
      <c r="D17" s="32">
        <f>IFERROR($B$17*0.3048,NA())</f>
        <v/>
      </c>
      <c r="E17" s="30" t="inlineStr">
        <is>
          <t>m</t>
        </is>
      </c>
    </row>
    <row r="18">
      <c r="A18" s="28" t="inlineStr">
        <is>
          <t>CT depth in well (MD)</t>
        </is>
      </c>
      <c r="B18" s="31" t="n">
        <v>10000</v>
      </c>
      <c r="C18" s="30" t="inlineStr">
        <is>
          <t>ft</t>
        </is>
      </c>
      <c r="D18" s="32">
        <f>IFERROR($B$18*0.3048,NA())</f>
        <v/>
      </c>
      <c r="E18" s="30" t="inlineStr">
        <is>
          <t>m</t>
        </is>
      </c>
    </row>
    <row r="19">
      <c r="A19" s="28" t="inlineStr">
        <is>
          <t>Completion / tubing ID</t>
        </is>
      </c>
      <c r="B19" s="33" t="n">
        <v>4.892</v>
      </c>
      <c r="C19" s="30" t="inlineStr">
        <is>
          <t>in</t>
        </is>
      </c>
      <c r="D19" s="34">
        <f>IFERROR($B$19*25.4,NA())</f>
        <v/>
      </c>
      <c r="E19" s="30" t="inlineStr">
        <is>
          <t>mm</t>
        </is>
      </c>
    </row>
    <row r="20">
      <c r="A20" s="28" t="inlineStr">
        <is>
          <t>CT internal volume (full reel)</t>
        </is>
      </c>
      <c r="B20" s="54">
        <f>$B$12*$B$17</f>
        <v/>
      </c>
      <c r="C20" s="30" t="inlineStr">
        <is>
          <t>bbl</t>
        </is>
      </c>
      <c r="D20" s="40">
        <f>IFERROR($B$20*0.1589873,NA())</f>
        <v/>
      </c>
      <c r="E20" s="30" t="inlineStr">
        <is>
          <t>m3</t>
        </is>
      </c>
    </row>
    <row r="21">
      <c r="A21" s="28" t="inlineStr">
        <is>
          <t>CT internal volume (surface to depth)</t>
        </is>
      </c>
      <c r="B21" s="54">
        <f>$B$12*$B$18</f>
        <v/>
      </c>
      <c r="C21" s="30" t="inlineStr">
        <is>
          <t>bbl</t>
        </is>
      </c>
      <c r="D21" s="40">
        <f>IFERROR($B$21*0.1589873,NA())</f>
        <v/>
      </c>
      <c r="E21" s="30" t="inlineStr">
        <is>
          <t>m3</t>
        </is>
      </c>
    </row>
    <row r="22">
      <c r="A22" s="28" t="inlineStr">
        <is>
          <t>CT x completion annulus volume</t>
        </is>
      </c>
      <c r="B22" s="54">
        <f>($B$19^2-$B$9^2)/1029.4*$B$18</f>
        <v/>
      </c>
      <c r="C22" s="30" t="inlineStr">
        <is>
          <t>bbl</t>
        </is>
      </c>
      <c r="D22" s="40">
        <f>IFERROR($B$22*0.1589873,NA())</f>
        <v/>
      </c>
      <c r="E22" s="30" t="inlineStr">
        <is>
          <t>m3</t>
        </is>
      </c>
    </row>
    <row r="23">
      <c r="A23" s="28" t="inlineStr">
        <is>
          <t>Completion volume (no CT in hole)</t>
        </is>
      </c>
      <c r="B23" s="54">
        <f>$B$19^2/1029.4*$B$18</f>
        <v/>
      </c>
      <c r="C23" s="30" t="inlineStr">
        <is>
          <t>bbl</t>
        </is>
      </c>
      <c r="D23" s="40">
        <f>IFERROR($B$23*0.1589873,NA())</f>
        <v/>
      </c>
      <c r="E23" s="30" t="inlineStr">
        <is>
          <t>m3</t>
        </is>
      </c>
    </row>
    <row r="25" ht="20" customHeight="1">
      <c r="A25" s="23" t="inlineStr">
        <is>
          <t>Pumping &amp; Circulation</t>
        </is>
      </c>
      <c r="B25" s="24" t="n"/>
      <c r="C25" s="24" t="n"/>
      <c r="D25" s="24" t="n"/>
      <c r="E25" s="24" t="n"/>
      <c r="F25" s="24" t="n"/>
    </row>
    <row r="27">
      <c r="A27" s="25" t="inlineStr">
        <is>
          <t>Fill &amp; Circulation Times at Pump Rate</t>
        </is>
      </c>
      <c r="B27" s="26" t="n"/>
      <c r="C27" s="26" t="n"/>
      <c r="D27" s="26" t="n"/>
      <c r="E27" s="26" t="n"/>
      <c r="F27" s="49" t="inlineStr">
        <is>
          <t>time [min] = volume [bbl] / rate [bbl/min]</t>
        </is>
      </c>
    </row>
    <row r="28">
      <c r="A28" s="28" t="inlineStr">
        <is>
          <t>Pump rate</t>
        </is>
      </c>
      <c r="B28" s="35" t="n">
        <v>1</v>
      </c>
      <c r="C28" s="30" t="inlineStr">
        <is>
          <t>bbl/min</t>
        </is>
      </c>
      <c r="D28" s="36">
        <f>IFERROR($B$28*0.1589873,NA())</f>
        <v/>
      </c>
      <c r="E28" s="30" t="inlineStr">
        <is>
          <t>m3/min</t>
        </is>
      </c>
    </row>
    <row r="29">
      <c r="A29" s="28" t="inlineStr">
        <is>
          <t>Fill full reel</t>
        </is>
      </c>
      <c r="B29" s="60">
        <f>$B$20/$B$28</f>
        <v/>
      </c>
      <c r="C29" s="30" t="inlineStr"/>
      <c r="F29" s="27" t="inlineStr">
        <is>
          <t>minutes</t>
        </is>
      </c>
    </row>
    <row r="30">
      <c r="A30" s="28" t="inlineStr">
        <is>
          <t>Displace CT to end (surface to depth)</t>
        </is>
      </c>
      <c r="B30" s="60">
        <f>$B$21/$B$28</f>
        <v/>
      </c>
      <c r="C30" s="30" t="inlineStr"/>
      <c r="F30" s="27" t="inlineStr">
        <is>
          <t>minutes</t>
        </is>
      </c>
    </row>
    <row r="31">
      <c r="A31" s="28" t="inlineStr">
        <is>
          <t>Annulus bottoms-up</t>
        </is>
      </c>
      <c r="B31" s="60">
        <f>$B$22/$B$28</f>
        <v/>
      </c>
      <c r="C31" s="30" t="inlineStr"/>
      <c r="F31" s="27" t="inlineStr">
        <is>
          <t>minutes</t>
        </is>
      </c>
    </row>
    <row r="32">
      <c r="A32" s="28" t="inlineStr">
        <is>
          <t>Full circulation (down CT, up annulus)</t>
        </is>
      </c>
      <c r="B32" s="60">
        <f>($B$21+$B$22)/$B$28</f>
        <v/>
      </c>
      <c r="C32" s="30" t="inlineStr"/>
      <c r="F32" s="27" t="inlineStr">
        <is>
          <t>minutes; conventional circulation path</t>
        </is>
      </c>
    </row>
    <row r="34" ht="20" customHeight="1">
      <c r="A34" s="23" t="inlineStr">
        <is>
          <t>Weights &amp; Forces</t>
        </is>
      </c>
      <c r="B34" s="24" t="n"/>
      <c r="C34" s="24" t="n"/>
      <c r="D34" s="24" t="n"/>
      <c r="E34" s="24" t="n"/>
      <c r="F34" s="24" t="n"/>
    </row>
    <row r="36">
      <c r="A36" s="25" t="inlineStr">
        <is>
          <t>CT Weight per Foot &amp; Hanging Weight</t>
        </is>
      </c>
      <c r="B36" s="26" t="n"/>
      <c r="C36" s="26" t="n"/>
      <c r="D36" s="26" t="n"/>
      <c r="E36" s="26" t="n"/>
      <c r="F36" s="49" t="inlineStr">
        <is>
          <t>w [lb/ft] = 10.68 x (OD - t) x t;  BF = 1 - MW/65.5;  W_hang = w x BF x depth</t>
        </is>
      </c>
    </row>
    <row r="37">
      <c r="A37" t="inlineStr"/>
      <c r="F37" s="27" t="inlineStr">
        <is>
          <t>Line-pipe plain-end weight formula (approx 3.4 lb/ft per in2 of steel). Approximate for tapered CT strings - use the manufacturer string report for the real string.</t>
        </is>
      </c>
    </row>
    <row r="38">
      <c r="A38" s="28" t="inlineStr">
        <is>
          <t>Wellbore fluid density (MW)</t>
        </is>
      </c>
      <c r="B38" s="35" t="n">
        <v>9</v>
      </c>
      <c r="C38" s="30" t="inlineStr">
        <is>
          <t>ppg</t>
        </is>
      </c>
      <c r="D38" s="36">
        <f>IFERROR($B$38*119.8264,NA())</f>
        <v/>
      </c>
      <c r="E38" s="30" t="inlineStr">
        <is>
          <t>kg/m3</t>
        </is>
      </c>
    </row>
    <row r="39">
      <c r="A39" s="28" t="inlineStr">
        <is>
          <t>CT weight per ft in air</t>
        </is>
      </c>
      <c r="B39" s="50">
        <f>10.68*($B$9-$B$10)*$B$10</f>
        <v/>
      </c>
      <c r="C39" s="30" t="inlineStr">
        <is>
          <t>lb/ft</t>
        </is>
      </c>
      <c r="D39" s="34">
        <f>IFERROR($B$39*1.488164,NA())</f>
        <v/>
      </c>
      <c r="E39" s="30" t="inlineStr">
        <is>
          <t>kg/m</t>
        </is>
      </c>
    </row>
    <row r="40">
      <c r="A40" s="28" t="inlineStr">
        <is>
          <t>Buoyancy factor (BF)</t>
        </is>
      </c>
      <c r="B40" s="50">
        <f>1-$B$38/65.5</f>
        <v/>
      </c>
      <c r="C40" s="30" t="inlineStr"/>
      <c r="F40" s="27" t="inlineStr">
        <is>
          <t>Steel in fluid, same fluid inside and outside the CT.</t>
        </is>
      </c>
    </row>
    <row r="41">
      <c r="A41" s="28" t="inlineStr">
        <is>
          <t>Buoyed weight per ft</t>
        </is>
      </c>
      <c r="B41" s="50">
        <f>$B$39*$B$40</f>
        <v/>
      </c>
      <c r="C41" s="30" t="inlineStr">
        <is>
          <t>lb/ft</t>
        </is>
      </c>
      <c r="D41" s="34">
        <f>IFERROR($B$41*1.488164,NA())</f>
        <v/>
      </c>
      <c r="E41" s="30" t="inlineStr">
        <is>
          <t>kg/m</t>
        </is>
      </c>
    </row>
    <row r="42">
      <c r="A42" s="28" t="inlineStr">
        <is>
          <t>Buoyed hanging weight at depth</t>
        </is>
      </c>
      <c r="B42" s="59">
        <f>$B$41*$B$18</f>
        <v/>
      </c>
      <c r="C42" s="30" t="inlineStr">
        <is>
          <t>lbf</t>
        </is>
      </c>
      <c r="D42" s="32">
        <f>IFERROR($B$42*0.004448222,NA())</f>
        <v/>
      </c>
      <c r="E42" s="30" t="inlineStr">
        <is>
          <t>kN</t>
        </is>
      </c>
    </row>
    <row r="44">
      <c r="A44" s="25" t="inlineStr">
        <is>
          <t>Wellhead Ejection Force &amp; Pipe-Light Depth</t>
        </is>
      </c>
      <c r="B44" s="26" t="n"/>
      <c r="C44" s="26" t="n"/>
      <c r="D44" s="26" t="n"/>
      <c r="E44" s="26" t="n"/>
      <c r="F44" s="49" t="inlineStr">
        <is>
          <t>F_ej [lbf] = WHP x pi/4 x OD^2;  balance depth [ft] = (F_ej + F_strip) / (w x BF)</t>
        </is>
      </c>
    </row>
    <row r="45">
      <c r="A45" t="inlineStr"/>
      <c r="F45" s="27" t="inlineStr">
        <is>
          <t>Above the balance depth the well pushes the CT out (pipe light) and the injector must snub.</t>
        </is>
      </c>
    </row>
    <row r="46">
      <c r="A46" s="28" t="inlineStr">
        <is>
          <t>Wellhead pressure (WHP)</t>
        </is>
      </c>
      <c r="B46" s="31" t="n">
        <v>2500</v>
      </c>
      <c r="C46" s="30" t="inlineStr">
        <is>
          <t>psi</t>
        </is>
      </c>
      <c r="D46" s="32">
        <f>IFERROR($B$46*6.894757,NA())</f>
        <v/>
      </c>
      <c r="E46" s="30" t="inlineStr">
        <is>
          <t>kPa</t>
        </is>
      </c>
    </row>
    <row r="47">
      <c r="A47" s="28" t="inlineStr">
        <is>
          <t>Stripper / pack-off friction</t>
        </is>
      </c>
      <c r="B47" s="31" t="n">
        <v>500</v>
      </c>
      <c r="C47" s="30" t="inlineStr">
        <is>
          <t>lbf</t>
        </is>
      </c>
      <c r="D47" s="32">
        <f>IFERROR($B$47*0.004448222,NA())</f>
        <v/>
      </c>
      <c r="E47" s="30" t="inlineStr">
        <is>
          <t>kN</t>
        </is>
      </c>
      <c r="F47" s="27" t="inlineStr">
        <is>
          <t>From stripper energization pressure; varies during the job.</t>
        </is>
      </c>
    </row>
    <row r="48">
      <c r="A48" s="28" t="inlineStr">
        <is>
          <t>Ejection force on CT</t>
        </is>
      </c>
      <c r="B48" s="59">
        <f>$B$46*PI()/4*$B$9^2</f>
        <v/>
      </c>
      <c r="C48" s="30" t="inlineStr">
        <is>
          <t>lbf</t>
        </is>
      </c>
      <c r="D48" s="32">
        <f>IFERROR($B$48*0.004448222,NA())</f>
        <v/>
      </c>
      <c r="E48" s="30" t="inlineStr">
        <is>
          <t>kN</t>
        </is>
      </c>
    </row>
    <row r="49">
      <c r="A49" s="28" t="inlineStr">
        <is>
          <t>Pipe-light balance depth</t>
        </is>
      </c>
      <c r="B49" s="59">
        <f>($B$48+$B$47)/$B$41</f>
        <v/>
      </c>
      <c r="C49" s="30" t="inlineStr">
        <is>
          <t>ft</t>
        </is>
      </c>
      <c r="D49" s="32">
        <f>IFERROR($B$49*0.3048,NA())</f>
        <v/>
      </c>
      <c r="E49" s="30" t="inlineStr">
        <is>
          <t>m</t>
        </is>
      </c>
    </row>
    <row r="50">
      <c r="A50" s="28" t="inlineStr">
        <is>
          <t>State at current depth</t>
        </is>
      </c>
      <c r="B50" s="72">
        <f>IF($B$42&gt;$B$48+$B$47,"PIPE HEAVY","PIPE LIGHT - snubbing force required")</f>
        <v/>
      </c>
      <c r="C50" s="30" t="inlineStr"/>
    </row>
    <row r="52">
      <c r="A52" s="25" t="inlineStr">
        <is>
          <t>Pull to Yield &amp; Working Pull</t>
        </is>
      </c>
      <c r="B52" s="26" t="n"/>
      <c r="C52" s="26" t="n"/>
      <c r="D52" s="26" t="n"/>
      <c r="E52" s="26" t="n"/>
      <c r="F52" s="49" t="inlineStr">
        <is>
          <t>A_steel = pi/4 x (OD^2 - ID^2);  F_yield = Yp x A_steel;  F_work = 0.8 x F_yield</t>
        </is>
      </c>
    </row>
    <row r="53">
      <c r="A53" s="28" t="inlineStr">
        <is>
          <t>Tube yield strength (Yp)</t>
        </is>
      </c>
      <c r="B53" s="31" t="n">
        <v>80000</v>
      </c>
      <c r="C53" s="30" t="inlineStr">
        <is>
          <t>psi</t>
        </is>
      </c>
      <c r="D53" s="32">
        <f>IFERROR($B$53*6.894757,NA())</f>
        <v/>
      </c>
      <c r="E53" s="30" t="inlineStr">
        <is>
          <t>kPa</t>
        </is>
      </c>
      <c r="F53" s="27" t="inlineStr">
        <is>
          <t>CT grades: 70, 80, 90, 100, 110 ksi.</t>
        </is>
      </c>
    </row>
    <row r="54">
      <c r="A54" s="28" t="inlineStr">
        <is>
          <t>Steel cross-section area</t>
        </is>
      </c>
      <c r="B54" s="50">
        <f>PI()/4*($B$9^2-$B$11^2)</f>
        <v/>
      </c>
      <c r="C54" s="30" t="inlineStr">
        <is>
          <t>in2</t>
        </is>
      </c>
      <c r="D54" s="34">
        <f>IFERROR($B$54*6.4516,NA())</f>
        <v/>
      </c>
      <c r="E54" s="30" t="inlineStr">
        <is>
          <t>cm2</t>
        </is>
      </c>
    </row>
    <row r="55">
      <c r="A55" s="28" t="inlineStr">
        <is>
          <t>Pull to yield</t>
        </is>
      </c>
      <c r="B55" s="59">
        <f>$B$53*$B$54</f>
        <v/>
      </c>
      <c r="C55" s="30" t="inlineStr">
        <is>
          <t>lbf</t>
        </is>
      </c>
      <c r="D55" s="32">
        <f>IFERROR($B$55*0.004448222,NA())</f>
        <v/>
      </c>
      <c r="E55" s="30" t="inlineStr">
        <is>
          <t>kN</t>
        </is>
      </c>
    </row>
    <row r="56">
      <c r="A56" s="28" t="inlineStr">
        <is>
          <t>Working pull limit (80% of yield)</t>
        </is>
      </c>
      <c r="B56" s="59">
        <f>0.8*$B$55</f>
        <v/>
      </c>
      <c r="C56" s="30" t="inlineStr">
        <is>
          <t>lbf</t>
        </is>
      </c>
      <c r="D56" s="32">
        <f>IFERROR($B$56*0.004448222,NA())</f>
        <v/>
      </c>
      <c r="E56" s="30" t="inlineStr">
        <is>
          <t>kN</t>
        </is>
      </c>
      <c r="F56" s="27" t="inlineStr">
        <is>
          <t>New pipe. Derate further for fatigue-cycled CT, welds, and ovality per string report.</t>
        </is>
      </c>
    </row>
    <row r="58" ht="20" customHeight="1">
      <c r="A58" s="23" t="inlineStr">
        <is>
          <t>Pressure Limits</t>
        </is>
      </c>
      <c r="B58" s="24" t="n"/>
      <c r="C58" s="24" t="n"/>
      <c r="D58" s="24" t="n"/>
      <c r="E58" s="24" t="n"/>
      <c r="F58" s="24" t="n"/>
    </row>
    <row r="60">
      <c r="A60" s="25" t="inlineStr">
        <is>
          <t>Burst &amp; Collapse Differential Check</t>
        </is>
      </c>
      <c r="B60" s="26" t="n"/>
      <c r="C60" s="26" t="n"/>
      <c r="D60" s="26" t="n"/>
      <c r="E60" s="26" t="n"/>
      <c r="F60" s="49" t="inlineStr">
        <is>
          <t>dP_burst = P_int - P_ext;  dP_collapse = P_ext - P_int;  require dP x SF &lt;= rating</t>
        </is>
      </c>
    </row>
    <row r="61">
      <c r="A61" t="inlineStr"/>
      <c r="F61" s="27" t="inlineStr">
        <is>
          <t>Ratings are manufacturer differential-pressure ratings for the current wall/fatigue state.</t>
        </is>
      </c>
    </row>
    <row r="62">
      <c r="A62" s="28" t="inlineStr">
        <is>
          <t>Burst rating (differential)</t>
        </is>
      </c>
      <c r="B62" s="31" t="n">
        <v>10000</v>
      </c>
      <c r="C62" s="30" t="inlineStr">
        <is>
          <t>psi</t>
        </is>
      </c>
      <c r="D62" s="32">
        <f>IFERROR($B$62*6.894757,NA())</f>
        <v/>
      </c>
      <c r="E62" s="30" t="inlineStr">
        <is>
          <t>kPa</t>
        </is>
      </c>
    </row>
    <row r="63">
      <c r="A63" s="28" t="inlineStr">
        <is>
          <t>Collapse rating (differential)</t>
        </is>
      </c>
      <c r="B63" s="31" t="n">
        <v>9000</v>
      </c>
      <c r="C63" s="30" t="inlineStr">
        <is>
          <t>psi</t>
        </is>
      </c>
      <c r="D63" s="32">
        <f>IFERROR($B$63*6.894757,NA())</f>
        <v/>
      </c>
      <c r="E63" s="30" t="inlineStr">
        <is>
          <t>kPa</t>
        </is>
      </c>
    </row>
    <row r="64">
      <c r="A64" s="28" t="inlineStr">
        <is>
          <t>Internal pressure at point of interest</t>
        </is>
      </c>
      <c r="B64" s="31" t="n">
        <v>5000</v>
      </c>
      <c r="C64" s="30" t="inlineStr">
        <is>
          <t>psi</t>
        </is>
      </c>
      <c r="D64" s="32">
        <f>IFERROR($B$64*6.894757,NA())</f>
        <v/>
      </c>
      <c r="E64" s="30" t="inlineStr">
        <is>
          <t>kPa</t>
        </is>
      </c>
    </row>
    <row r="65">
      <c r="A65" s="28" t="inlineStr">
        <is>
          <t>External pressure at same point</t>
        </is>
      </c>
      <c r="B65" s="31" t="n">
        <v>3000</v>
      </c>
      <c r="C65" s="30" t="inlineStr">
        <is>
          <t>psi</t>
        </is>
      </c>
      <c r="D65" s="32">
        <f>IFERROR($B$65*6.894757,NA())</f>
        <v/>
      </c>
      <c r="E65" s="30" t="inlineStr">
        <is>
          <t>kPa</t>
        </is>
      </c>
    </row>
    <row r="66">
      <c r="A66" s="28" t="inlineStr">
        <is>
          <t>Required safety factor</t>
        </is>
      </c>
      <c r="B66" s="41" t="n">
        <v>1.25</v>
      </c>
      <c r="C66" s="30" t="inlineStr"/>
    </row>
    <row r="67">
      <c r="A67" s="28" t="inlineStr">
        <is>
          <t>Burst differential (P_int - P_ext)</t>
        </is>
      </c>
      <c r="B67" s="59">
        <f>$B$64-$B$65</f>
        <v/>
      </c>
      <c r="C67" s="30" t="inlineStr">
        <is>
          <t>psi</t>
        </is>
      </c>
      <c r="D67" s="32">
        <f>IFERROR($B$67*6.894757,NA())</f>
        <v/>
      </c>
      <c r="E67" s="30" t="inlineStr">
        <is>
          <t>kPa</t>
        </is>
      </c>
    </row>
    <row r="68">
      <c r="A68" s="28" t="inlineStr">
        <is>
          <t>Collapse differential (P_ext - P_int)</t>
        </is>
      </c>
      <c r="B68" s="59">
        <f>$B$65-$B$64</f>
        <v/>
      </c>
      <c r="C68" s="30" t="inlineStr">
        <is>
          <t>psi</t>
        </is>
      </c>
      <c r="D68" s="32">
        <f>IFERROR($B$68*6.894757,NA())</f>
        <v/>
      </c>
      <c r="E68" s="30" t="inlineStr">
        <is>
          <t>kPa</t>
        </is>
      </c>
    </row>
    <row r="69">
      <c r="A69" s="28" t="inlineStr">
        <is>
          <t>Burst check</t>
        </is>
      </c>
      <c r="B69" s="72">
        <f>IF(MAX(0,$B$67)*$B$66&lt;=$B$62,"OK","EXCEEDS BURST RATING / SF")</f>
        <v/>
      </c>
      <c r="C69" s="30" t="inlineStr"/>
    </row>
    <row r="70">
      <c r="A70" s="28" t="inlineStr">
        <is>
          <t>Collapse check</t>
        </is>
      </c>
      <c r="B70" s="72">
        <f>IF(MAX(0,$B$68)*$B$66&lt;=$B$63,"OK","EXCEEDS COLLAPSE RATING / SF")</f>
        <v/>
      </c>
      <c r="C70" s="30" t="inlineStr"/>
    </row>
    <row r="72" ht="20" customHeight="1">
      <c r="A72" s="23" t="inlineStr">
        <is>
          <t>Cleanout Hydraulics</t>
        </is>
      </c>
      <c r="B72" s="24" t="n"/>
      <c r="C72" s="24" t="n"/>
      <c r="D72" s="24" t="n"/>
      <c r="E72" s="24" t="n"/>
      <c r="F72" s="24" t="n"/>
    </row>
    <row r="74">
      <c r="A74" s="25" t="inlineStr">
        <is>
          <t>Annular Velocity in Completion</t>
        </is>
      </c>
      <c r="B74" s="26" t="n"/>
      <c r="C74" s="26" t="n"/>
      <c r="D74" s="26" t="n"/>
      <c r="E74" s="26" t="n"/>
      <c r="F74" s="49" t="inlineStr">
        <is>
          <t>AV [ft/min] = 24.5 x Q [gpm] / (D_id^2 - OD_ct^2)</t>
        </is>
      </c>
    </row>
    <row r="75">
      <c r="A75" s="28" t="inlineStr">
        <is>
          <t>Pump rate</t>
        </is>
      </c>
      <c r="B75" s="31" t="n">
        <v>42</v>
      </c>
      <c r="C75" s="30" t="inlineStr">
        <is>
          <t>gpm</t>
        </is>
      </c>
      <c r="D75" s="32">
        <f>IFERROR($B$75*3.785412,NA())</f>
        <v/>
      </c>
      <c r="E75" s="30" t="inlineStr">
        <is>
          <t>L/min</t>
        </is>
      </c>
      <c r="F75" s="27" t="inlineStr">
        <is>
          <t>42 gpm = 1.0 bbl/min</t>
        </is>
      </c>
    </row>
    <row r="76">
      <c r="A76" s="28" t="inlineStr">
        <is>
          <t>Annular velocity</t>
        </is>
      </c>
      <c r="B76" s="59">
        <f>24.5*$B$75/($B$19^2-$B$9^2)</f>
        <v/>
      </c>
      <c r="C76" s="30" t="inlineStr">
        <is>
          <t>ft/min</t>
        </is>
      </c>
      <c r="D76" s="32">
        <f>IFERROR($B$76*0.3048,NA())</f>
        <v/>
      </c>
      <c r="E76" s="30" t="inlineStr">
        <is>
          <t>m/min</t>
        </is>
      </c>
    </row>
    <row r="77">
      <c r="A77" s="28" t="inlineStr">
        <is>
          <t>Minimum AV for solids transport</t>
        </is>
      </c>
      <c r="B77" s="31" t="n">
        <v>100</v>
      </c>
      <c r="C77" s="30" t="inlineStr">
        <is>
          <t>ft/min</t>
        </is>
      </c>
      <c r="D77" s="32">
        <f>IFERROR($B$77*0.3048,NA())</f>
        <v/>
      </c>
      <c r="E77" s="30" t="inlineStr">
        <is>
          <t>m/min</t>
        </is>
      </c>
      <c r="F77" s="27" t="inlineStr">
        <is>
          <t>Rule of thumb: 100-150 ft/min vertical; substantially higher (or wiper trips / gel sweeps) in deviated hole. Check with a solids-transport model for horizontal wells.</t>
        </is>
      </c>
    </row>
    <row r="78">
      <c r="A78" s="28" t="inlineStr">
        <is>
          <t>Solids transport check</t>
        </is>
      </c>
      <c r="B78" s="72">
        <f>IF($B$76&gt;=$B$77,"OK","AV TOO LOW - raise rate or stage the cleanout")</f>
        <v/>
      </c>
      <c r="C78" s="30" t="inlineStr"/>
    </row>
    <row r="80" ht="20" customHeight="1">
      <c r="A80" s="23" t="inlineStr">
        <is>
          <t>Nitrogen</t>
        </is>
      </c>
      <c r="B80" s="24" t="n"/>
      <c r="C80" s="24" t="n"/>
      <c r="D80" s="24" t="n"/>
      <c r="E80" s="24" t="n"/>
      <c r="F80" s="24" t="n"/>
    </row>
    <row r="82">
      <c r="A82" s="25" t="inlineStr">
        <is>
          <t>N2 to Displace CT + Well to Gas</t>
        </is>
      </c>
      <c r="B82" s="26" t="n"/>
      <c r="C82" s="26" t="n"/>
      <c r="D82" s="26" t="n"/>
      <c r="E82" s="26" t="n"/>
      <c r="F82" s="49" t="inlineStr">
        <is>
          <t>V_N2 [scf] = V_liq [bbl] x 5.615 x (P_avg / 14.7) x (520 / (T_avg + 460)) / z</t>
        </is>
      </c>
    </row>
    <row r="83">
      <c r="A83" t="inlineStr"/>
      <c r="F83" s="27" t="inlineStr">
        <is>
          <t>Real-gas estimate at average column pressure and temperature. For design, run a staged N2 simulation; add 10-20% surface losses.</t>
        </is>
      </c>
    </row>
    <row r="84">
      <c r="A84" s="28" t="inlineStr">
        <is>
          <t>Volume to displace (CT in hole + annulus)</t>
        </is>
      </c>
      <c r="B84" s="54">
        <f>$B$21+$B$22</f>
        <v/>
      </c>
      <c r="C84" s="30" t="inlineStr">
        <is>
          <t>bbl</t>
        </is>
      </c>
      <c r="D84" s="40">
        <f>IFERROR($B$84*0.1589873,NA())</f>
        <v/>
      </c>
      <c r="E84" s="30" t="inlineStr">
        <is>
          <t>m3</t>
        </is>
      </c>
    </row>
    <row r="85">
      <c r="A85" s="28" t="inlineStr">
        <is>
          <t>Average column pressure (P_avg, absolute)</t>
        </is>
      </c>
      <c r="B85" s="31" t="n">
        <v>1500</v>
      </c>
      <c r="C85" s="30" t="inlineStr">
        <is>
          <t>psi</t>
        </is>
      </c>
      <c r="D85" s="32">
        <f>IFERROR($B$85*6.894757,NA())</f>
        <v/>
      </c>
      <c r="E85" s="30" t="inlineStr">
        <is>
          <t>kPa</t>
        </is>
      </c>
    </row>
    <row r="86">
      <c r="A86" s="28" t="inlineStr">
        <is>
          <t>Average column temperature (T_avg)</t>
        </is>
      </c>
      <c r="B86" s="31" t="n">
        <v>120</v>
      </c>
      <c r="C86" s="30" t="inlineStr">
        <is>
          <t>degF</t>
        </is>
      </c>
      <c r="D86" s="32">
        <f>IFERROR(($B$86-32)/1.8,NA())</f>
        <v/>
      </c>
      <c r="E86" s="30" t="inlineStr">
        <is>
          <t>degC</t>
        </is>
      </c>
    </row>
    <row r="87">
      <c r="A87" s="28" t="inlineStr">
        <is>
          <t>Gas deviation factor (z)</t>
        </is>
      </c>
      <c r="B87" s="33" t="n">
        <v>0.98</v>
      </c>
      <c r="C87" s="30" t="inlineStr"/>
      <c r="F87" s="27" t="inlineStr">
        <is>
          <t>N2 z-factor near 1.0 at moderate pressure; from N2 tables at P_avg, T_avg.</t>
        </is>
      </c>
    </row>
    <row r="88">
      <c r="A88" s="28" t="inlineStr">
        <is>
          <t>N2 required</t>
        </is>
      </c>
      <c r="B88" s="59">
        <f>$B$84*5.615*($B$85/14.7)*(520/($B$86+460))/$B$87</f>
        <v/>
      </c>
      <c r="C88" s="30" t="inlineStr">
        <is>
          <t>scf</t>
        </is>
      </c>
      <c r="D88" s="32">
        <f>IFERROR($B$88*0.02831685,NA())</f>
        <v/>
      </c>
      <c r="E88" s="30" t="inlineStr">
        <is>
          <t>std m3</t>
        </is>
      </c>
    </row>
    <row r="90">
      <c r="A90" s="25" t="inlineStr">
        <is>
          <t>Field Notes</t>
        </is>
      </c>
      <c r="B90" s="26" t="n"/>
      <c r="C90" s="26" t="n"/>
      <c r="D90" s="26" t="n"/>
      <c r="E90" s="26" t="n"/>
      <c r="F90" s="26" t="n"/>
    </row>
    <row r="91">
      <c r="A91" s="27" t="inlineStr">
        <is>
          <t>Maximum setdown / snubbing force</t>
        </is>
      </c>
      <c r="F91" s="27" t="inlineStr">
        <is>
          <t>Setdown and snub force are limited by helical buckling and lockup in the completion, not by the injector rating alone - run a tubing-forces model for the actual well path and clearances.</t>
        </is>
      </c>
    </row>
    <row r="93" ht="20" customHeight="1">
      <c r="A93" s="23" t="inlineStr">
        <is>
          <t>Swab &amp; Surge - CT Running</t>
        </is>
      </c>
      <c r="B93" s="24" t="n"/>
      <c r="C93" s="24" t="n"/>
      <c r="D93" s="24" t="n"/>
      <c r="E93" s="24" t="n"/>
      <c r="F93" s="24" t="n"/>
    </row>
    <row r="95">
      <c r="A95" s="25" t="inlineStr">
        <is>
          <t>CT Surge/Swab in Completion (closed-ended, Bingham)</t>
        </is>
      </c>
      <c r="B95" s="26" t="n"/>
      <c r="C95" s="26" t="n"/>
      <c r="D95" s="26" t="n"/>
      <c r="E95" s="26" t="n"/>
      <c r="F95" s="49" t="inlineStr">
        <is>
          <t>Ve = V x (0.45 + Dp^2/(Dc^2-Dp^2));  dP = L x PV x Ve/(60000 x (Dc-Dp)^2) + L x YP/(200 x (Dc-Dp));  Dp = CT OD, Dc = completion ID</t>
        </is>
      </c>
    </row>
    <row r="96">
      <c r="A96" t="inlineStr"/>
      <c r="F96" s="27" t="inlineStr">
        <is>
          <t>CT has check valves, so treat as closed-ended (Burkhardt clinging constant 0.45, laminar Bingham approximation). While circulating, add annular friction from the Hydraulics sheet.</t>
        </is>
      </c>
    </row>
    <row r="97">
      <c r="A97" s="28" t="inlineStr">
        <is>
          <t>Completion ID (Dc)</t>
        </is>
      </c>
      <c r="B97" s="33" t="n">
        <v>4.892</v>
      </c>
      <c r="C97" s="30" t="inlineStr">
        <is>
          <t>in</t>
        </is>
      </c>
      <c r="D97" s="34">
        <f>IFERROR($B$97*25.4,NA())</f>
        <v/>
      </c>
      <c r="E97" s="30" t="inlineStr">
        <is>
          <t>mm</t>
        </is>
      </c>
    </row>
    <row r="98">
      <c r="A98" s="28" t="inlineStr">
        <is>
          <t>CT OD (Dp)</t>
        </is>
      </c>
      <c r="B98" s="33" t="n">
        <v>2</v>
      </c>
      <c r="C98" s="30" t="inlineStr">
        <is>
          <t>in</t>
        </is>
      </c>
      <c r="D98" s="34">
        <f>IFERROR($B$98*25.4,NA())</f>
        <v/>
      </c>
      <c r="E98" s="30" t="inlineStr">
        <is>
          <t>mm</t>
        </is>
      </c>
    </row>
    <row r="99">
      <c r="A99" s="28" t="inlineStr">
        <is>
          <t>Run speed</t>
        </is>
      </c>
      <c r="B99" s="31" t="n">
        <v>100</v>
      </c>
      <c r="C99" s="30" t="inlineStr">
        <is>
          <t>ft/min</t>
        </is>
      </c>
      <c r="D99" s="32">
        <f>IFERROR($B$99*0.3048,NA())</f>
        <v/>
      </c>
      <c r="E99" s="30" t="inlineStr">
        <is>
          <t>m/min</t>
        </is>
      </c>
    </row>
    <row r="100">
      <c r="A100" s="28" t="inlineStr">
        <is>
          <t>Fluid plastic viscosity (PV)</t>
        </is>
      </c>
      <c r="B100" s="31" t="n">
        <v>10</v>
      </c>
      <c r="C100" s="30" t="inlineStr">
        <is>
          <t>cP</t>
        </is>
      </c>
      <c r="D100" s="32">
        <f>IFERROR($B$100*1.0,NA())</f>
        <v/>
      </c>
      <c r="E100" s="30" t="inlineStr">
        <is>
          <t>mPa-s</t>
        </is>
      </c>
    </row>
    <row r="101">
      <c r="A101" s="28" t="inlineStr">
        <is>
          <t>Fluid yield point (YP)</t>
        </is>
      </c>
      <c r="B101" s="31" t="n">
        <v>8</v>
      </c>
      <c r="C101" s="30" t="inlineStr"/>
      <c r="F101" s="27" t="inlineStr">
        <is>
          <t>lb/100ft2 (no SI mirror; 1 lb/100ft2 = 0.4788 Pa)</t>
        </is>
      </c>
    </row>
    <row r="102">
      <c r="A102" s="28" t="inlineStr">
        <is>
          <t>Length below nozzle (L)</t>
        </is>
      </c>
      <c r="B102" s="31" t="n">
        <v>10000</v>
      </c>
      <c r="C102" s="30" t="inlineStr">
        <is>
          <t>ft</t>
        </is>
      </c>
      <c r="D102" s="32">
        <f>IFERROR($B$102*0.3048,NA())</f>
        <v/>
      </c>
      <c r="E102" s="30" t="inlineStr">
        <is>
          <t>m</t>
        </is>
      </c>
    </row>
    <row r="103">
      <c r="A103" s="28" t="inlineStr">
        <is>
          <t>Fluid density (MW)</t>
        </is>
      </c>
      <c r="B103" s="35" t="n">
        <v>8.6</v>
      </c>
      <c r="C103" s="30" t="inlineStr">
        <is>
          <t>ppg</t>
        </is>
      </c>
      <c r="D103" s="36">
        <f>IFERROR($B$103*119.8264,NA())</f>
        <v/>
      </c>
      <c r="E103" s="30" t="inlineStr">
        <is>
          <t>kg/m3</t>
        </is>
      </c>
    </row>
    <row r="104">
      <c r="A104" s="28" t="inlineStr">
        <is>
          <t>TVD</t>
        </is>
      </c>
      <c r="B104" s="31" t="n">
        <v>9500</v>
      </c>
      <c r="C104" s="30" t="inlineStr">
        <is>
          <t>ft</t>
        </is>
      </c>
      <c r="D104" s="32">
        <f>IFERROR($B$104*0.3048,NA())</f>
        <v/>
      </c>
      <c r="E104" s="30" t="inlineStr">
        <is>
          <t>m</t>
        </is>
      </c>
    </row>
    <row r="105">
      <c r="A105" s="28" t="inlineStr">
        <is>
          <t>Effective velocity (Ve)</t>
        </is>
      </c>
      <c r="B105" s="59">
        <f>$B$99*(0.45+$B$98^2/($B$97^2-$B$98^2))</f>
        <v/>
      </c>
      <c r="C105" s="30" t="inlineStr">
        <is>
          <t>ft/min</t>
        </is>
      </c>
      <c r="D105" s="32">
        <f>IFERROR($B$105*0.3048,NA())</f>
        <v/>
      </c>
      <c r="E105" s="30" t="inlineStr">
        <is>
          <t>m/min</t>
        </is>
      </c>
    </row>
    <row r="106">
      <c r="A106" s="28" t="inlineStr">
        <is>
          <t>Surge/swab pressure (dP)</t>
        </is>
      </c>
      <c r="B106" s="59">
        <f>$B$102*$B$100*$B$105/(60000*($B$97-$B$98)^2)+$B$102*$B$101/(200*($B$97-$B$98))</f>
        <v/>
      </c>
      <c r="C106" s="30" t="inlineStr">
        <is>
          <t>psi</t>
        </is>
      </c>
      <c r="D106" s="32">
        <f>IFERROR($B$106*6.894757,NA())</f>
        <v/>
      </c>
      <c r="E106" s="30" t="inlineStr">
        <is>
          <t>kPa</t>
        </is>
      </c>
    </row>
    <row r="107">
      <c r="A107" s="28" t="inlineStr">
        <is>
          <t>Surge EMW (running in)</t>
        </is>
      </c>
      <c r="B107" s="51">
        <f>$B$103+$B$106/(0.052*$B$104)</f>
        <v/>
      </c>
      <c r="C107" s="30" t="inlineStr">
        <is>
          <t>ppg</t>
        </is>
      </c>
      <c r="D107" s="42">
        <f>IFERROR($B$107*119.8264,NA())</f>
        <v/>
      </c>
      <c r="E107" s="30" t="inlineStr">
        <is>
          <t>kg/m3</t>
        </is>
      </c>
      <c r="F107" s="27" t="inlineStr">
        <is>
          <t>Keep below frac / loss-limit EMW.</t>
        </is>
      </c>
    </row>
    <row r="108">
      <c r="A108" s="28" t="inlineStr">
        <is>
          <t>Swab EMW (pulling out)</t>
        </is>
      </c>
      <c r="B108" s="51">
        <f>$B$103-$B$106/(0.052*$B$104)</f>
        <v/>
      </c>
      <c r="C108" s="30" t="inlineStr">
        <is>
          <t>ppg</t>
        </is>
      </c>
      <c r="D108" s="42">
        <f>IFERROR($B$108*119.8264,NA())</f>
        <v/>
      </c>
      <c r="E108" s="30" t="inlineStr">
        <is>
          <t>kg/m3</t>
        </is>
      </c>
      <c r="F108" s="27" t="inlineStr">
        <is>
          <t>Keep above pore / kick-margin EMW.</t>
        </is>
      </c>
    </row>
  </sheetData>
  <sheetProtection selectLockedCells="0" selectUnlockedCells="0" sheet="1" objects="0" insertRows="1" insertHyperlinks="1" autoFilter="1" scenarios="0" formatColumns="0" deleteColumns="1" insertColumns="1" pivotTables="1" deleteRows="1" formatCells="1" formatRows="0" sort="1"/>
  <mergeCells count="9">
    <mergeCell ref="A2:F2"/>
    <mergeCell ref="A93:F93"/>
    <mergeCell ref="A1:F1"/>
    <mergeCell ref="A80:F80"/>
    <mergeCell ref="A6:F6"/>
    <mergeCell ref="A58:F58"/>
    <mergeCell ref="A34:F34"/>
    <mergeCell ref="A72:F72"/>
    <mergeCell ref="A25:F25"/>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41.xml><?xml version="1.0" encoding="utf-8"?>
<worksheet xmlns="http://schemas.openxmlformats.org/spreadsheetml/2006/main">
  <sheetPr>
    <tabColor rgb="00C55A11"/>
    <outlinePr summaryBelow="1" summaryRight="1"/>
    <pageSetUpPr/>
  </sheetPr>
  <dimension ref="A1:F120"/>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Wireline Operations</t>
        </is>
      </c>
      <c r="B1" s="2" t="n"/>
      <c r="C1" s="2" t="n"/>
      <c r="D1" s="2" t="n"/>
      <c r="E1" s="2" t="n"/>
      <c r="F1" s="2" t="n"/>
    </row>
    <row r="2">
      <c r="A2" s="20" t="inlineStr">
        <is>
          <t>Cable and tool weights, safe pull, weak point window, stretch, grease-head forces</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Cable &amp; String Weight</t>
        </is>
      </c>
      <c r="B6" s="24" t="n"/>
      <c r="C6" s="24" t="n"/>
      <c r="D6" s="24" t="n"/>
      <c r="E6" s="24" t="n"/>
      <c r="F6" s="24" t="n"/>
    </row>
    <row r="8">
      <c r="A8" s="25" t="inlineStr">
        <is>
          <t>Buoyed Cable Weight</t>
        </is>
      </c>
      <c r="B8" s="26" t="n"/>
      <c r="C8" s="26" t="n"/>
      <c r="D8" s="26" t="n"/>
      <c r="E8" s="26" t="n"/>
      <c r="F8" s="49" t="inlineStr">
        <is>
          <t>w_buoyed [lb/kft] = w_air x (1 - MW / 65.5)</t>
        </is>
      </c>
    </row>
    <row r="9">
      <c r="A9" t="inlineStr"/>
      <c r="F9" s="27" t="inlineStr">
        <is>
          <t>Steel-line buoyancy approximation (65.5 ppg steel). For exact values use the vendor displaced-volume figure, especially for polymer-jacketed cable.</t>
        </is>
      </c>
    </row>
    <row r="10">
      <c r="A10" s="28" t="inlineStr">
        <is>
          <t>Cable weight in air</t>
        </is>
      </c>
      <c r="B10" s="31" t="n">
        <v>340</v>
      </c>
      <c r="C10" s="30" t="inlineStr">
        <is>
          <t>lb/kft</t>
        </is>
      </c>
      <c r="D10" s="32">
        <f>IFERROR($B$10*1.488164,NA())</f>
        <v/>
      </c>
      <c r="E10" s="30" t="inlineStr">
        <is>
          <t>kg/km</t>
        </is>
      </c>
      <c r="F10" s="27" t="inlineStr">
        <is>
          <t>e.g. 0.108-in slickline ~ 31 lb/kft; 5/16-in braided ~ 330 lb/kft; 7/16 e-line ~ 460 lb/kft</t>
        </is>
      </c>
    </row>
    <row r="11">
      <c r="A11" s="28" t="inlineStr">
        <is>
          <t>Wellbore fluid density (MW)</t>
        </is>
      </c>
      <c r="B11" s="35" t="n">
        <v>8.6</v>
      </c>
      <c r="C11" s="30" t="inlineStr">
        <is>
          <t>ppg</t>
        </is>
      </c>
      <c r="D11" s="36">
        <f>IFERROR($B$11*119.8264,NA())</f>
        <v/>
      </c>
      <c r="E11" s="30" t="inlineStr">
        <is>
          <t>kg/m3</t>
        </is>
      </c>
    </row>
    <row r="12">
      <c r="A12" s="28" t="inlineStr">
        <is>
          <t>Buoyancy factor (BF)</t>
        </is>
      </c>
      <c r="B12" s="50">
        <f>1-$B$11/65.5</f>
        <v/>
      </c>
      <c r="C12" s="30" t="inlineStr"/>
    </row>
    <row r="13">
      <c r="A13" s="28" t="inlineStr">
        <is>
          <t>Buoyed cable weight</t>
        </is>
      </c>
      <c r="B13" s="59">
        <f>$B$10*$B$12</f>
        <v/>
      </c>
      <c r="C13" s="30" t="inlineStr">
        <is>
          <t>lb/kft</t>
        </is>
      </c>
      <c r="D13" s="32">
        <f>IFERROR($B$13*1.488164,NA())</f>
        <v/>
      </c>
      <c r="E13" s="30" t="inlineStr">
        <is>
          <t>kg/km</t>
        </is>
      </c>
    </row>
    <row r="14">
      <c r="A14" s="28" t="inlineStr">
        <is>
          <t>Tool depth</t>
        </is>
      </c>
      <c r="B14" s="31" t="n">
        <v>12000</v>
      </c>
      <c r="C14" s="30" t="inlineStr">
        <is>
          <t>ft</t>
        </is>
      </c>
      <c r="D14" s="32">
        <f>IFERROR($B$14*0.3048,NA())</f>
        <v/>
      </c>
      <c r="E14" s="30" t="inlineStr">
        <is>
          <t>m</t>
        </is>
      </c>
    </row>
    <row r="15">
      <c r="A15" s="28" t="inlineStr">
        <is>
          <t>Buoyed cable weight at depth</t>
        </is>
      </c>
      <c r="B15" s="59">
        <f>$B$13*$B$14/1000</f>
        <v/>
      </c>
      <c r="C15" s="30" t="inlineStr">
        <is>
          <t>lbf</t>
        </is>
      </c>
      <c r="D15" s="32">
        <f>IFERROR($B$15*0.004448222,NA())</f>
        <v/>
      </c>
      <c r="E15" s="30" t="inlineStr">
        <is>
          <t>kN</t>
        </is>
      </c>
    </row>
    <row r="17">
      <c r="A17" s="25" t="inlineStr">
        <is>
          <t>Tool String Weight &amp; Surface Head Tension</t>
        </is>
      </c>
      <c r="B17" s="26" t="n"/>
      <c r="C17" s="26" t="n"/>
      <c r="D17" s="26" t="n"/>
      <c r="E17" s="26" t="n"/>
      <c r="F17" s="49" t="inlineStr">
        <is>
          <t>T_head = W_cable_buoyed + W_tools x BF + F_drag</t>
        </is>
      </c>
    </row>
    <row r="18">
      <c r="A18" s="28" t="inlineStr">
        <is>
          <t>Tool string weight in air</t>
        </is>
      </c>
      <c r="B18" s="31" t="n">
        <v>350</v>
      </c>
      <c r="C18" s="30" t="inlineStr">
        <is>
          <t>lbf</t>
        </is>
      </c>
      <c r="D18" s="32">
        <f>IFERROR($B$18*0.004448222,NA())</f>
        <v/>
      </c>
      <c r="E18" s="30" t="inlineStr">
        <is>
          <t>kN</t>
        </is>
      </c>
    </row>
    <row r="19">
      <c r="A19" s="28" t="inlineStr">
        <is>
          <t>Buoyed tool string weight</t>
        </is>
      </c>
      <c r="B19" s="59">
        <f>$B$18*$B$12</f>
        <v/>
      </c>
      <c r="C19" s="30" t="inlineStr">
        <is>
          <t>lbf</t>
        </is>
      </c>
      <c r="D19" s="32">
        <f>IFERROR($B$19*0.004448222,NA())</f>
        <v/>
      </c>
      <c r="E19" s="30" t="inlineStr">
        <is>
          <t>kN</t>
        </is>
      </c>
    </row>
    <row r="20">
      <c r="A20" s="28" t="inlineStr">
        <is>
          <t>Friction + fluid drag at pickup</t>
        </is>
      </c>
      <c r="B20" s="31" t="n">
        <v>100</v>
      </c>
      <c r="C20" s="30" t="inlineStr">
        <is>
          <t>lbf</t>
        </is>
      </c>
      <c r="D20" s="32">
        <f>IFERROR($B$20*0.004448222,NA())</f>
        <v/>
      </c>
      <c r="E20" s="30" t="inlineStr">
        <is>
          <t>kN</t>
        </is>
      </c>
      <c r="F20" s="27" t="inlineStr">
        <is>
          <t>Depends on line speed, deviation, and stuffing-box / grease friction; from the weight indicator on a pick-up/slack-off check.</t>
        </is>
      </c>
    </row>
    <row r="21">
      <c r="A21" s="28" t="inlineStr">
        <is>
          <t>Head tension at surface (pickup)</t>
        </is>
      </c>
      <c r="B21" s="59">
        <f>$B$15+$B$19+$B$20</f>
        <v/>
      </c>
      <c r="C21" s="30" t="inlineStr">
        <is>
          <t>lbf</t>
        </is>
      </c>
      <c r="D21" s="32">
        <f>IFERROR($B$21*0.004448222,NA())</f>
        <v/>
      </c>
      <c r="E21" s="30" t="inlineStr">
        <is>
          <t>kN</t>
        </is>
      </c>
    </row>
    <row r="23" ht="20" customHeight="1">
      <c r="A23" s="23" t="inlineStr">
        <is>
          <t>Pull Limits &amp; Weak Point</t>
        </is>
      </c>
      <c r="B23" s="24" t="n"/>
      <c r="C23" s="24" t="n"/>
      <c r="D23" s="24" t="n"/>
      <c r="E23" s="24" t="n"/>
      <c r="F23" s="24" t="n"/>
    </row>
    <row r="25">
      <c r="A25" s="25" t="inlineStr">
        <is>
          <t>Maximum Safe Pull</t>
        </is>
      </c>
      <c r="B25" s="26" t="n"/>
      <c r="C25" s="26" t="n"/>
      <c r="D25" s="26" t="n"/>
      <c r="E25" s="26" t="n"/>
      <c r="F25" s="49" t="inlineStr">
        <is>
          <t>F_safe = % x minimum breaking strength</t>
        </is>
      </c>
    </row>
    <row r="26">
      <c r="A26" s="28" t="inlineStr">
        <is>
          <t>Cable minimum breaking strength</t>
        </is>
      </c>
      <c r="B26" s="31" t="n">
        <v>5600</v>
      </c>
      <c r="C26" s="30" t="inlineStr">
        <is>
          <t>lbf</t>
        </is>
      </c>
      <c r="D26" s="32">
        <f>IFERROR($B$26*0.004448222,NA())</f>
        <v/>
      </c>
      <c r="E26" s="30" t="inlineStr">
        <is>
          <t>kN</t>
        </is>
      </c>
      <c r="F26" s="27" t="inlineStr">
        <is>
          <t>Use the current (aged/derated) break strength from cable records, not new-cable value.</t>
        </is>
      </c>
    </row>
    <row r="27">
      <c r="A27" s="28" t="inlineStr">
        <is>
          <t>Safe working percentage</t>
        </is>
      </c>
      <c r="B27" s="31" t="n">
        <v>50</v>
      </c>
      <c r="C27" s="30" t="inlineStr"/>
      <c r="F27" s="27" t="inlineStr">
        <is>
          <t>% of minimum break; 50% typical for braided line, some operators allow 60% for a controlled fishing pull.</t>
        </is>
      </c>
    </row>
    <row r="28">
      <c r="A28" s="28" t="inlineStr">
        <is>
          <t>Maximum safe pull at surface</t>
        </is>
      </c>
      <c r="B28" s="59">
        <f>$B$26*$B$27/100</f>
        <v/>
      </c>
      <c r="C28" s="30" t="inlineStr">
        <is>
          <t>lbf</t>
        </is>
      </c>
      <c r="D28" s="32">
        <f>IFERROR($B$28*0.004448222,NA())</f>
        <v/>
      </c>
      <c r="E28" s="30" t="inlineStr">
        <is>
          <t>kN</t>
        </is>
      </c>
    </row>
    <row r="30">
      <c r="A30" s="25" t="inlineStr">
        <is>
          <t>Weak Point Selection Window</t>
        </is>
      </c>
      <c r="B30" s="26" t="n"/>
      <c r="C30" s="26" t="n"/>
      <c r="D30" s="26" t="n"/>
      <c r="E30" s="26" t="n"/>
      <c r="F30" s="49" t="inlineStr">
        <is>
          <t>WP_max = F_safe - W_cable_buoyed;  WP_min = W_tools x BF + margin</t>
        </is>
      </c>
    </row>
    <row r="31">
      <c r="A31" t="inlineStr"/>
      <c r="F31" s="27" t="inlineStr">
        <is>
          <t>Weak point must part (pull at the tool) before surface tension reaches cable safe pull, but must carry the tool string with margin for jarring and drag.</t>
        </is>
      </c>
    </row>
    <row r="32">
      <c r="A32" s="28" t="inlineStr">
        <is>
          <t>Margin above buoyed tool weight</t>
        </is>
      </c>
      <c r="B32" s="31" t="n">
        <v>300</v>
      </c>
      <c r="C32" s="30" t="inlineStr">
        <is>
          <t>lbf</t>
        </is>
      </c>
      <c r="D32" s="32">
        <f>IFERROR($B$32*0.004448222,NA())</f>
        <v/>
      </c>
      <c r="E32" s="30" t="inlineStr">
        <is>
          <t>kN</t>
        </is>
      </c>
    </row>
    <row r="33">
      <c r="A33" s="28" t="inlineStr">
        <is>
          <t>Weak point upper limit (WP_max)</t>
        </is>
      </c>
      <c r="B33" s="59">
        <f>$B$28-$B$15</f>
        <v/>
      </c>
      <c r="C33" s="30" t="inlineStr">
        <is>
          <t>lbf</t>
        </is>
      </c>
      <c r="D33" s="32">
        <f>IFERROR($B$33*0.004448222,NA())</f>
        <v/>
      </c>
      <c r="E33" s="30" t="inlineStr">
        <is>
          <t>kN</t>
        </is>
      </c>
    </row>
    <row r="34">
      <c r="A34" s="28" t="inlineStr">
        <is>
          <t>Weak point lower limit (WP_min)</t>
        </is>
      </c>
      <c r="B34" s="59">
        <f>$B$19+$B$32</f>
        <v/>
      </c>
      <c r="C34" s="30" t="inlineStr">
        <is>
          <t>lbf</t>
        </is>
      </c>
      <c r="D34" s="32">
        <f>IFERROR($B$34*0.004448222,NA())</f>
        <v/>
      </c>
      <c r="E34" s="30" t="inlineStr">
        <is>
          <t>kN</t>
        </is>
      </c>
    </row>
    <row r="35">
      <c r="A35" s="28" t="inlineStr">
        <is>
          <t>Selected weak point rating</t>
        </is>
      </c>
      <c r="B35" s="31" t="n">
        <v>2000</v>
      </c>
      <c r="C35" s="30" t="inlineStr">
        <is>
          <t>lbf</t>
        </is>
      </c>
      <c r="D35" s="32">
        <f>IFERROR($B$35*0.004448222,NA())</f>
        <v/>
      </c>
      <c r="E35" s="30" t="inlineStr">
        <is>
          <t>kN</t>
        </is>
      </c>
    </row>
    <row r="36">
      <c r="A36" s="28" t="inlineStr">
        <is>
          <t>Weak point check</t>
        </is>
      </c>
      <c r="B36" s="72">
        <f>IF($B$34&gt;$B$33,"NO VALID WINDOW - reduce depth, lighter tools, or stronger cable",IF(AND($B$35&gt;=$B$34,$B$35&lt;=$B$33),"OK - inside window","OUTSIDE WINDOW"))</f>
        <v/>
      </c>
      <c r="C36" s="30" t="inlineStr"/>
    </row>
    <row r="38" ht="20" customHeight="1">
      <c r="A38" s="23" t="inlineStr">
        <is>
          <t>Stretch &amp; Depth Correction</t>
        </is>
      </c>
      <c r="B38" s="24" t="n"/>
      <c r="C38" s="24" t="n"/>
      <c r="D38" s="24" t="n"/>
      <c r="E38" s="24" t="n"/>
      <c r="F38" s="24" t="n"/>
    </row>
    <row r="40">
      <c r="A40" s="25" t="inlineStr">
        <is>
          <t>Cable Stretch Under Pull</t>
        </is>
      </c>
      <c r="B40" s="26" t="n"/>
      <c r="C40" s="26" t="n"/>
      <c r="D40" s="26" t="n"/>
      <c r="E40" s="26" t="n"/>
      <c r="F40" s="49" t="inlineStr">
        <is>
          <t>e [ft] = P [klbf] x L [kft] x K [ft/kft/klbf]</t>
        </is>
      </c>
    </row>
    <row r="41">
      <c r="A41" s="28" t="inlineStr">
        <is>
          <t>Cable stretch coefficient (K)</t>
        </is>
      </c>
      <c r="B41" s="41" t="n">
        <v>0.9</v>
      </c>
      <c r="C41" s="30" t="inlineStr"/>
      <c r="F41" s="27" t="inlineStr">
        <is>
          <t>ft per kft per klbf, from the cable data sheet. Typical 0.6-1.2 for braided line, ~1.6-2.0 for slickline sizes.</t>
        </is>
      </c>
    </row>
    <row r="42">
      <c r="A42" s="28" t="inlineStr">
        <is>
          <t>Pull applied over normal tension (P)</t>
        </is>
      </c>
      <c r="B42" s="41" t="n">
        <v>1.5</v>
      </c>
      <c r="C42" s="30" t="inlineStr">
        <is>
          <t>klbf</t>
        </is>
      </c>
      <c r="D42" s="42">
        <f>IFERROR($B$42*4.448222,NA())</f>
        <v/>
      </c>
      <c r="E42" s="30" t="inlineStr">
        <is>
          <t>kN</t>
        </is>
      </c>
    </row>
    <row r="43">
      <c r="A43" s="28" t="inlineStr">
        <is>
          <t>Cable stretch</t>
        </is>
      </c>
      <c r="B43" s="51">
        <f>$B$42*$B$14/1000*$B$41</f>
        <v/>
      </c>
      <c r="C43" s="30" t="inlineStr">
        <is>
          <t>ft</t>
        </is>
      </c>
      <c r="D43" s="42">
        <f>IFERROR($B$43*0.3048,NA())</f>
        <v/>
      </c>
      <c r="E43" s="30" t="inlineStr">
        <is>
          <t>m</t>
        </is>
      </c>
    </row>
    <row r="45">
      <c r="A45" s="25" t="inlineStr">
        <is>
          <t>Thermal Expansion &amp; Total Depth Correction</t>
        </is>
      </c>
      <c r="B45" s="26" t="n"/>
      <c r="C45" s="26" t="n"/>
      <c r="D45" s="26" t="n"/>
      <c r="E45" s="26" t="n"/>
      <c r="F45" s="49" t="inlineStr">
        <is>
          <t>e_th [ft] = L x alpha x dT_avg;  alpha = 8.3e-6 per degF (steel)</t>
        </is>
      </c>
    </row>
    <row r="46">
      <c r="A46" t="inlineStr"/>
      <c r="F46" s="27" t="inlineStr">
        <is>
          <t>dT_avg = average cable temperature downhole minus calibration temperature. Standard field constant for steel line; both corrections make true depth deeper than counter depth.</t>
        </is>
      </c>
    </row>
    <row r="47">
      <c r="A47" s="28" t="inlineStr">
        <is>
          <t>Average temperature rise (dT_avg)</t>
        </is>
      </c>
      <c r="B47" s="31" t="n">
        <v>60</v>
      </c>
      <c r="C47" s="30" t="inlineStr"/>
      <c r="F47" s="27" t="inlineStr">
        <is>
          <t>degF</t>
        </is>
      </c>
    </row>
    <row r="48">
      <c r="A48" s="28" t="inlineStr">
        <is>
          <t>Thermal elongation</t>
        </is>
      </c>
      <c r="B48" s="51">
        <f>$B$14*0.0000083*$B$47</f>
        <v/>
      </c>
      <c r="C48" s="30" t="inlineStr">
        <is>
          <t>ft</t>
        </is>
      </c>
      <c r="D48" s="42">
        <f>IFERROR($B$48*0.3048,NA())</f>
        <v/>
      </c>
      <c r="E48" s="30" t="inlineStr">
        <is>
          <t>m</t>
        </is>
      </c>
    </row>
    <row r="49">
      <c r="A49" s="28" t="inlineStr">
        <is>
          <t>Total depth correction (add to counter depth)</t>
        </is>
      </c>
      <c r="B49" s="51">
        <f>$B$43+$B$48</f>
        <v/>
      </c>
      <c r="C49" s="30" t="inlineStr">
        <is>
          <t>ft</t>
        </is>
      </c>
      <c r="D49" s="42">
        <f>IFERROR($B$49*0.3048,NA())</f>
        <v/>
      </c>
      <c r="E49" s="30" t="inlineStr">
        <is>
          <t>m</t>
        </is>
      </c>
    </row>
    <row r="51" ht="20" customHeight="1">
      <c r="A51" s="23" t="inlineStr">
        <is>
          <t>Pressure Forces at Surface</t>
        </is>
      </c>
      <c r="B51" s="24" t="n"/>
      <c r="C51" s="24" t="n"/>
      <c r="D51" s="24" t="n"/>
      <c r="E51" s="24" t="n"/>
      <c r="F51" s="24" t="n"/>
    </row>
    <row r="53">
      <c r="A53" s="25" t="inlineStr">
        <is>
          <t>Grease Head Ejection Force &amp; Tools-Light Check</t>
        </is>
      </c>
      <c r="B53" s="26" t="n"/>
      <c r="C53" s="26" t="n"/>
      <c r="D53" s="26" t="n"/>
      <c r="E53" s="26" t="n"/>
      <c r="F53" s="49" t="inlineStr">
        <is>
          <t>F_ej [lbf] = WHP x pi/4 x d_cable^2</t>
        </is>
      </c>
    </row>
    <row r="54">
      <c r="A54" t="inlineStr"/>
      <c r="F54" s="27" t="inlineStr">
        <is>
          <t>Check at surface with tools just below the head: buoyed tool weight must exceed the pressure force plus grease/pack-off friction or the string will not run in.</t>
        </is>
      </c>
    </row>
    <row r="55">
      <c r="A55" s="28" t="inlineStr">
        <is>
          <t>Wellhead pressure (WHP)</t>
        </is>
      </c>
      <c r="B55" s="31" t="n">
        <v>5000</v>
      </c>
      <c r="C55" s="30" t="inlineStr">
        <is>
          <t>psi</t>
        </is>
      </c>
      <c r="D55" s="32">
        <f>IFERROR($B$55*6.894757,NA())</f>
        <v/>
      </c>
      <c r="E55" s="30" t="inlineStr">
        <is>
          <t>kPa</t>
        </is>
      </c>
    </row>
    <row r="56">
      <c r="A56" s="28" t="inlineStr">
        <is>
          <t>Cable diameter</t>
        </is>
      </c>
      <c r="B56" s="33" t="n">
        <v>0.23</v>
      </c>
      <c r="C56" s="30" t="inlineStr">
        <is>
          <t>in</t>
        </is>
      </c>
      <c r="D56" s="34">
        <f>IFERROR($B$56*25.4,NA())</f>
        <v/>
      </c>
      <c r="E56" s="30" t="inlineStr">
        <is>
          <t>mm</t>
        </is>
      </c>
    </row>
    <row r="57">
      <c r="A57" s="28" t="inlineStr">
        <is>
          <t>Grease head / pack-off friction</t>
        </is>
      </c>
      <c r="B57" s="31" t="n">
        <v>50</v>
      </c>
      <c r="C57" s="30" t="inlineStr">
        <is>
          <t>lbf</t>
        </is>
      </c>
      <c r="D57" s="32">
        <f>IFERROR($B$57*0.004448222,NA())</f>
        <v/>
      </c>
      <c r="E57" s="30" t="inlineStr">
        <is>
          <t>kN</t>
        </is>
      </c>
    </row>
    <row r="58">
      <c r="A58" s="28" t="inlineStr">
        <is>
          <t>Pressure force pushing cable out</t>
        </is>
      </c>
      <c r="B58" s="59">
        <f>$B$55*PI()/4*$B$56^2</f>
        <v/>
      </c>
      <c r="C58" s="30" t="inlineStr">
        <is>
          <t>lbf</t>
        </is>
      </c>
      <c r="D58" s="32">
        <f>IFERROR($B$58*0.004448222,NA())</f>
        <v/>
      </c>
      <c r="E58" s="30" t="inlineStr">
        <is>
          <t>kN</t>
        </is>
      </c>
    </row>
    <row r="59">
      <c r="A59" s="28" t="inlineStr">
        <is>
          <t>Tools-light check</t>
        </is>
      </c>
      <c r="B59" s="72">
        <f>IF($B$19&gt;$B$58+$B$57,"OK - string will run in","TOOLS LIGHT - add weight bars / stem")</f>
        <v/>
      </c>
      <c r="C59" s="30" t="inlineStr"/>
    </row>
    <row r="61">
      <c r="A61" s="25" t="inlineStr">
        <is>
          <t>Field Notes</t>
        </is>
      </c>
      <c r="B61" s="26" t="n"/>
      <c r="C61" s="26" t="n"/>
      <c r="D61" s="26" t="n"/>
      <c r="E61" s="26" t="n"/>
      <c r="F61" s="26" t="n"/>
    </row>
    <row r="62">
      <c r="A62" s="27" t="inlineStr">
        <is>
          <t>Braided line vs slickline</t>
        </is>
      </c>
      <c r="F62" s="27" t="inlineStr">
        <is>
          <t>Slickline: single-strand, sealed by stuffing box, no conductor - depth/stretch constants per size. Braided/e-line: multi-strand, sealed by grease injection head, higher strength and drag; e-line carries conductors and uses an electrically-releasable or tension weak point.</t>
        </is>
      </c>
    </row>
    <row r="63">
      <c r="A63" s="27" t="inlineStr">
        <is>
          <t>Fluid drag</t>
        </is>
      </c>
      <c r="F63" s="27" t="inlineStr">
        <is>
          <t>Drag rises with line speed, fluid viscosity, and tool OD vs completion ID; it adds to head tension running out and subtracts running in. Verify limits at planned line speed, not static weight.</t>
        </is>
      </c>
    </row>
    <row r="64">
      <c r="A64" s="27" t="inlineStr">
        <is>
          <t>Running speed / swab &amp; surge</t>
        </is>
      </c>
      <c r="F64" s="27" t="inlineStr">
        <is>
          <t>Large-OD tools in tight completions swab (running out) and surge (running in) the well. Slow down across restrictions and near the perforations; typical max 200-300 ft/min with close clearances.</t>
        </is>
      </c>
    </row>
    <row r="66" ht="20" customHeight="1">
      <c r="A66" s="23" t="inlineStr">
        <is>
          <t>Stem Design &amp; Fall-Back</t>
        </is>
      </c>
      <c r="B66" s="24" t="n"/>
      <c r="C66" s="24" t="n"/>
      <c r="D66" s="24" t="n"/>
      <c r="E66" s="24" t="n"/>
      <c r="F66" s="24" t="n"/>
    </row>
    <row r="68">
      <c r="A68" s="25" t="inlineStr">
        <is>
          <t>Stem Required to Run Against Wellhead Pressure</t>
        </is>
      </c>
      <c r="B68" s="26" t="n"/>
      <c r="C68" s="26" t="n"/>
      <c r="D68" s="26" t="n"/>
      <c r="E68" s="26" t="n"/>
      <c r="F68" s="49" t="inlineStr">
        <is>
          <t>F_ej = WHP x pi/4 x d^2;  W_req_buoyed = SF x (F_ej + friction);  stem length = stem weight in air / (lb/ft)</t>
        </is>
      </c>
    </row>
    <row r="69">
      <c r="A69" t="inlineStr"/>
      <c r="F69" s="27" t="inlineStr">
        <is>
          <t>Buoyed string weight must beat the pressure ejection force plus stuffing-box friction with a safety factor before the string will run in and fall reliably.</t>
        </is>
      </c>
    </row>
    <row r="70">
      <c r="A70" s="28" t="inlineStr">
        <is>
          <t>Wellhead pressure (WHP)</t>
        </is>
      </c>
      <c r="B70" s="31" t="n">
        <v>3000</v>
      </c>
      <c r="C70" s="30" t="inlineStr">
        <is>
          <t>psi</t>
        </is>
      </c>
      <c r="D70" s="32">
        <f>IFERROR($B$70*6.894757,NA())</f>
        <v/>
      </c>
      <c r="E70" s="30" t="inlineStr">
        <is>
          <t>kPa</t>
        </is>
      </c>
    </row>
    <row r="71">
      <c r="A71" s="28" t="inlineStr">
        <is>
          <t>Wire diameter (d)</t>
        </is>
      </c>
      <c r="B71" s="33" t="n">
        <v>0.125</v>
      </c>
      <c r="C71" s="30" t="inlineStr">
        <is>
          <t>in</t>
        </is>
      </c>
      <c r="D71" s="34">
        <f>IFERROR($B$71*25.4,NA())</f>
        <v/>
      </c>
      <c r="E71" s="30" t="inlineStr">
        <is>
          <t>mm</t>
        </is>
      </c>
    </row>
    <row r="72">
      <c r="A72" s="28" t="inlineStr">
        <is>
          <t>Stuffing box / grease friction</t>
        </is>
      </c>
      <c r="B72" s="31" t="n">
        <v>75</v>
      </c>
      <c r="C72" s="30" t="inlineStr">
        <is>
          <t>lbf</t>
        </is>
      </c>
      <c r="D72" s="32">
        <f>IFERROR($B$72*0.004448222,NA())</f>
        <v/>
      </c>
      <c r="E72" s="30" t="inlineStr">
        <is>
          <t>kN</t>
        </is>
      </c>
    </row>
    <row r="73">
      <c r="A73" s="28" t="inlineStr">
        <is>
          <t>Tool string weight in air</t>
        </is>
      </c>
      <c r="B73" s="31" t="n">
        <v>150</v>
      </c>
      <c r="C73" s="30" t="inlineStr">
        <is>
          <t>lbm</t>
        </is>
      </c>
      <c r="D73" s="32">
        <f>IFERROR($B$73*0.4535924,NA())</f>
        <v/>
      </c>
      <c r="E73" s="30" t="inlineStr">
        <is>
          <t>kg</t>
        </is>
      </c>
    </row>
    <row r="74">
      <c r="A74" s="28" t="inlineStr">
        <is>
          <t>Well fluid density (MW)</t>
        </is>
      </c>
      <c r="B74" s="35" t="n">
        <v>8.6</v>
      </c>
      <c r="C74" s="30" t="inlineStr">
        <is>
          <t>ppg</t>
        </is>
      </c>
      <c r="D74" s="36">
        <f>IFERROR($B$74*119.8264,NA())</f>
        <v/>
      </c>
      <c r="E74" s="30" t="inlineStr">
        <is>
          <t>kg/m3</t>
        </is>
      </c>
      <c r="F74" s="27" t="inlineStr">
        <is>
          <t>Use 0 for a gas well.</t>
        </is>
      </c>
    </row>
    <row r="75">
      <c r="A75" s="28" t="inlineStr">
        <is>
          <t>Stem weight per foot</t>
        </is>
      </c>
      <c r="B75" s="41" t="n">
        <v>9.5</v>
      </c>
      <c r="C75" s="30" t="inlineStr">
        <is>
          <t>lb/ft</t>
        </is>
      </c>
      <c r="D75" s="42">
        <f>IFERROR($B$75*1.488164,NA())</f>
        <v/>
      </c>
      <c r="E75" s="30" t="inlineStr">
        <is>
          <t>kg/m</t>
        </is>
      </c>
      <c r="F75" s="27" t="inlineStr">
        <is>
          <t>9.5 lb/ft typical for 1-7/8 in stem.</t>
        </is>
      </c>
    </row>
    <row r="76">
      <c r="A76" s="28" t="inlineStr">
        <is>
          <t>Safety factor (SF)</t>
        </is>
      </c>
      <c r="B76" s="41" t="n">
        <v>1.5</v>
      </c>
      <c r="C76" s="30" t="inlineStr"/>
      <c r="F76" s="27" t="inlineStr">
        <is>
          <t>Buoyed weight over ejection + friction; typically 1.5.</t>
        </is>
      </c>
    </row>
    <row r="77">
      <c r="A77" s="28" t="inlineStr">
        <is>
          <t>Ejection force (F_ej)</t>
        </is>
      </c>
      <c r="B77" s="59">
        <f>$B$70*PI()/4*$B$71^2</f>
        <v/>
      </c>
      <c r="C77" s="30" t="inlineStr">
        <is>
          <t>lbf</t>
        </is>
      </c>
      <c r="D77" s="32">
        <f>IFERROR($B$77*0.004448222,NA())</f>
        <v/>
      </c>
      <c r="E77" s="30" t="inlineStr">
        <is>
          <t>kN</t>
        </is>
      </c>
    </row>
    <row r="78">
      <c r="A78" s="28" t="inlineStr">
        <is>
          <t>Buoyancy factor (BF)</t>
        </is>
      </c>
      <c r="B78" s="50">
        <f>1-$B$74/65.5</f>
        <v/>
      </c>
      <c r="C78" s="30" t="inlineStr"/>
    </row>
    <row r="79">
      <c r="A79" s="28" t="inlineStr">
        <is>
          <t>Buoyed tool string weight</t>
        </is>
      </c>
      <c r="B79" s="59">
        <f>$B$73*$B$78</f>
        <v/>
      </c>
      <c r="C79" s="30" t="inlineStr">
        <is>
          <t>lbf</t>
        </is>
      </c>
      <c r="D79" s="32">
        <f>IFERROR($B$79*0.004448222,NA())</f>
        <v/>
      </c>
      <c r="E79" s="30" t="inlineStr">
        <is>
          <t>kN</t>
        </is>
      </c>
    </row>
    <row r="80">
      <c r="A80" s="28" t="inlineStr">
        <is>
          <t>Required buoyed weight</t>
        </is>
      </c>
      <c r="B80" s="59">
        <f>$B$76*($B$77+$B$72)</f>
        <v/>
      </c>
      <c r="C80" s="30" t="inlineStr">
        <is>
          <t>lbf</t>
        </is>
      </c>
      <c r="D80" s="32">
        <f>IFERROR($B$80*0.004448222,NA())</f>
        <v/>
      </c>
      <c r="E80" s="30" t="inlineStr">
        <is>
          <t>kN</t>
        </is>
      </c>
    </row>
    <row r="81">
      <c r="A81" s="28" t="inlineStr">
        <is>
          <t>Additional stem weight (in air)</t>
        </is>
      </c>
      <c r="B81" s="59">
        <f>MAX(0,($B$80-$B$79)/$B$78)</f>
        <v/>
      </c>
      <c r="C81" s="30" t="inlineStr">
        <is>
          <t>lbm</t>
        </is>
      </c>
      <c r="D81" s="32">
        <f>IFERROR($B$81*0.4535924,NA())</f>
        <v/>
      </c>
      <c r="E81" s="30" t="inlineStr">
        <is>
          <t>kg</t>
        </is>
      </c>
    </row>
    <row r="82">
      <c r="A82" s="28" t="inlineStr">
        <is>
          <t>Stem length required</t>
        </is>
      </c>
      <c r="B82" s="54">
        <f>$B$81/$B$75</f>
        <v/>
      </c>
      <c r="C82" s="30" t="inlineStr">
        <is>
          <t>ft</t>
        </is>
      </c>
      <c r="D82" s="40">
        <f>IFERROR($B$82*0.3048,NA())</f>
        <v/>
      </c>
      <c r="E82" s="30" t="inlineStr">
        <is>
          <t>m</t>
        </is>
      </c>
    </row>
    <row r="84">
      <c r="A84" s="25" t="inlineStr">
        <is>
          <t>Fall-Back Factor</t>
        </is>
      </c>
      <c r="B84" s="26" t="n"/>
      <c r="C84" s="26" t="n"/>
      <c r="D84" s="26" t="n"/>
      <c r="E84" s="26" t="n"/>
      <c r="F84" s="49" t="inlineStr">
        <is>
          <t>FBF = buoyed string weight / (F_ej + friction)</t>
        </is>
      </c>
    </row>
    <row r="85">
      <c r="A85" t="inlineStr"/>
      <c r="F85" s="27" t="inlineStr">
        <is>
          <t>Fall-back factor = ratio of buoyed string weight to total upward force at the stuffing box. Field rule of thumb: keep FBF &gt;= 1.5 so tools reliably fall against wellhead pressure and the X-mas tree check valves are not re-closed by a hung string. Not a code requirement - a field rule of thumb only.</t>
        </is>
      </c>
    </row>
    <row r="86">
      <c r="A86" s="28" t="inlineStr">
        <is>
          <t>Buoyed string weight incl. stem</t>
        </is>
      </c>
      <c r="B86" s="31" t="n">
        <v>450</v>
      </c>
      <c r="C86" s="30" t="inlineStr">
        <is>
          <t>lbf</t>
        </is>
      </c>
      <c r="D86" s="32">
        <f>IFERROR($B$86*0.004448222,NA())</f>
        <v/>
      </c>
      <c r="E86" s="30" t="inlineStr">
        <is>
          <t>kN</t>
        </is>
      </c>
    </row>
    <row r="87">
      <c r="A87" s="28" t="inlineStr">
        <is>
          <t>Wellhead pressure (WHP)</t>
        </is>
      </c>
      <c r="B87" s="31" t="n">
        <v>3000</v>
      </c>
      <c r="C87" s="30" t="inlineStr">
        <is>
          <t>psi</t>
        </is>
      </c>
      <c r="D87" s="32">
        <f>IFERROR($B$87*6.894757,NA())</f>
        <v/>
      </c>
      <c r="E87" s="30" t="inlineStr">
        <is>
          <t>kPa</t>
        </is>
      </c>
    </row>
    <row r="88">
      <c r="A88" s="28" t="inlineStr">
        <is>
          <t>Wire diameter</t>
        </is>
      </c>
      <c r="B88" s="33" t="n">
        <v>0.125</v>
      </c>
      <c r="C88" s="30" t="inlineStr">
        <is>
          <t>in</t>
        </is>
      </c>
      <c r="D88" s="34">
        <f>IFERROR($B$88*25.4,NA())</f>
        <v/>
      </c>
      <c r="E88" s="30" t="inlineStr">
        <is>
          <t>mm</t>
        </is>
      </c>
    </row>
    <row r="89">
      <c r="A89" s="28" t="inlineStr">
        <is>
          <t>Stuffing box / grease friction</t>
        </is>
      </c>
      <c r="B89" s="31" t="n">
        <v>75</v>
      </c>
      <c r="C89" s="30" t="inlineStr">
        <is>
          <t>lbf</t>
        </is>
      </c>
      <c r="D89" s="32">
        <f>IFERROR($B$89*0.004448222,NA())</f>
        <v/>
      </c>
      <c r="E89" s="30" t="inlineStr">
        <is>
          <t>kN</t>
        </is>
      </c>
    </row>
    <row r="90">
      <c r="A90" s="28" t="inlineStr">
        <is>
          <t>Ejection force (F_ej)</t>
        </is>
      </c>
      <c r="B90" s="59">
        <f>$B$87*PI()/4*$B$88^2</f>
        <v/>
      </c>
      <c r="C90" s="30" t="inlineStr">
        <is>
          <t>lbf</t>
        </is>
      </c>
      <c r="D90" s="32">
        <f>IFERROR($B$90*0.004448222,NA())</f>
        <v/>
      </c>
      <c r="E90" s="30" t="inlineStr">
        <is>
          <t>kN</t>
        </is>
      </c>
    </row>
    <row r="91">
      <c r="A91" s="28" t="inlineStr">
        <is>
          <t>Fall-back factor (FBF)</t>
        </is>
      </c>
      <c r="B91" s="51">
        <f>$B$86/($B$90+$B$89)</f>
        <v/>
      </c>
      <c r="C91" s="30" t="inlineStr"/>
    </row>
    <row r="92">
      <c r="A92" s="28" t="inlineStr">
        <is>
          <t>Fall-back status</t>
        </is>
      </c>
      <c r="B92" s="72">
        <f>IF($B$91&gt;=1.5,"OK TO RUN",IF($B$91&gt;=1.2,"MARGINAL - CONSIDER MORE STEM","ADD STEM"))</f>
        <v/>
      </c>
      <c r="C92" s="30" t="inlineStr"/>
    </row>
    <row r="94" ht="20" customHeight="1">
      <c r="A94" s="23" t="inlineStr">
        <is>
          <t>Swab &amp; Surge - Running Tools</t>
        </is>
      </c>
      <c r="B94" s="24" t="n"/>
      <c r="C94" s="24" t="n"/>
      <c r="D94" s="24" t="n"/>
      <c r="E94" s="24" t="n"/>
      <c r="F94" s="24" t="n"/>
    </row>
    <row r="96">
      <c r="A96" s="25" t="inlineStr">
        <is>
          <t>Tool Piston Swab/Surge in Tubing</t>
        </is>
      </c>
      <c r="B96" s="26" t="n"/>
      <c r="C96" s="26" t="n"/>
      <c r="D96" s="26" t="n"/>
      <c r="E96" s="26" t="n"/>
      <c r="F96" s="49" t="inlineStr">
        <is>
          <t>Ve = Vt x (0.45 + Dt^2/(Dtbg^2 - Dt^2));  dP = L x PV x Ve/(60000 x (Dtbg-Dt)^2) + L x YP/(200 x (Dtbg-Dt))</t>
        </is>
      </c>
    </row>
    <row r="97">
      <c r="A97" t="inlineStr"/>
      <c r="F97" s="27" t="inlineStr">
        <is>
          <t>Closed-body tool moving in tubing, Bingham-plastic laminar approximation with the Burkhardt 0.45 clinging constant. Swab reduces BHP pulling out; surge raises it running in.</t>
        </is>
      </c>
    </row>
    <row r="98">
      <c r="A98" s="28" t="inlineStr">
        <is>
          <t>Tool OD (Dt)</t>
        </is>
      </c>
      <c r="B98" s="33" t="n">
        <v>2.5</v>
      </c>
      <c r="C98" s="30" t="inlineStr">
        <is>
          <t>in</t>
        </is>
      </c>
      <c r="D98" s="34">
        <f>IFERROR($B$98*25.4,NA())</f>
        <v/>
      </c>
      <c r="E98" s="30" t="inlineStr">
        <is>
          <t>mm</t>
        </is>
      </c>
    </row>
    <row r="99">
      <c r="A99" s="28" t="inlineStr">
        <is>
          <t>Tubing ID (Dtbg)</t>
        </is>
      </c>
      <c r="B99" s="33" t="n">
        <v>2.992</v>
      </c>
      <c r="C99" s="30" t="inlineStr">
        <is>
          <t>in</t>
        </is>
      </c>
      <c r="D99" s="34">
        <f>IFERROR($B$99*25.4,NA())</f>
        <v/>
      </c>
      <c r="E99" s="30" t="inlineStr">
        <is>
          <t>mm</t>
        </is>
      </c>
    </row>
    <row r="100">
      <c r="A100" s="28" t="inlineStr">
        <is>
          <t>Running speed (Vt)</t>
        </is>
      </c>
      <c r="B100" s="31" t="n">
        <v>200</v>
      </c>
      <c r="C100" s="30" t="inlineStr">
        <is>
          <t>ft/min</t>
        </is>
      </c>
      <c r="D100" s="32">
        <f>IFERROR($B$100*0.3048,NA())</f>
        <v/>
      </c>
      <c r="E100" s="30" t="inlineStr">
        <is>
          <t>m/min</t>
        </is>
      </c>
    </row>
    <row r="101">
      <c r="A101" s="28" t="inlineStr">
        <is>
          <t>Fluid plastic viscosity (PV)</t>
        </is>
      </c>
      <c r="B101" s="31" t="n">
        <v>12</v>
      </c>
      <c r="C101" s="30" t="inlineStr">
        <is>
          <t>cP</t>
        </is>
      </c>
      <c r="D101" s="32">
        <f>IFERROR($B$101*1.0,NA())</f>
        <v/>
      </c>
      <c r="E101" s="30" t="inlineStr">
        <is>
          <t>mPa-s</t>
        </is>
      </c>
    </row>
    <row r="102">
      <c r="A102" s="28" t="inlineStr">
        <is>
          <t>Fluid yield point (YP)</t>
        </is>
      </c>
      <c r="B102" s="31" t="n">
        <v>10</v>
      </c>
      <c r="C102" s="30" t="inlineStr"/>
      <c r="F102" s="27" t="inlineStr">
        <is>
          <t>lb/100ft2 (no SI mirror; 1 lb/100ft2 = 0.4788 Pa)</t>
        </is>
      </c>
    </row>
    <row r="103">
      <c r="A103" s="28" t="inlineStr">
        <is>
          <t>Tubing length below tool (L)</t>
        </is>
      </c>
      <c r="B103" s="31" t="n">
        <v>8000</v>
      </c>
      <c r="C103" s="30" t="inlineStr">
        <is>
          <t>ft</t>
        </is>
      </c>
      <c r="D103" s="32">
        <f>IFERROR($B$103*0.3048,NA())</f>
        <v/>
      </c>
      <c r="E103" s="30" t="inlineStr">
        <is>
          <t>m</t>
        </is>
      </c>
    </row>
    <row r="104">
      <c r="A104" s="28" t="inlineStr">
        <is>
          <t>Fluid density (MW)</t>
        </is>
      </c>
      <c r="B104" s="35" t="n">
        <v>8.6</v>
      </c>
      <c r="C104" s="30" t="inlineStr">
        <is>
          <t>ppg</t>
        </is>
      </c>
      <c r="D104" s="36">
        <f>IFERROR($B$104*119.8264,NA())</f>
        <v/>
      </c>
      <c r="E104" s="30" t="inlineStr">
        <is>
          <t>kg/m3</t>
        </is>
      </c>
    </row>
    <row r="105">
      <c r="A105" s="28" t="inlineStr">
        <is>
          <t>TVD at tool</t>
        </is>
      </c>
      <c r="B105" s="31" t="n">
        <v>8000</v>
      </c>
      <c r="C105" s="30" t="inlineStr">
        <is>
          <t>ft</t>
        </is>
      </c>
      <c r="D105" s="32">
        <f>IFERROR($B$105*0.3048,NA())</f>
        <v/>
      </c>
      <c r="E105" s="30" t="inlineStr">
        <is>
          <t>m</t>
        </is>
      </c>
    </row>
    <row r="106">
      <c r="A106" s="28" t="inlineStr">
        <is>
          <t>Effective velocity (Ve)</t>
        </is>
      </c>
      <c r="B106" s="59">
        <f>$B$100*(0.45+$B$98^2/($B$99^2-$B$98^2))</f>
        <v/>
      </c>
      <c r="C106" s="30" t="inlineStr">
        <is>
          <t>ft/min</t>
        </is>
      </c>
      <c r="D106" s="32">
        <f>IFERROR($B$106*0.3048,NA())</f>
        <v/>
      </c>
      <c r="E106" s="30" t="inlineStr">
        <is>
          <t>m/min</t>
        </is>
      </c>
    </row>
    <row r="107">
      <c r="A107" s="28" t="inlineStr">
        <is>
          <t>Swab/surge pressure (dP)</t>
        </is>
      </c>
      <c r="B107" s="59">
        <f>$B$103*$B$101*$B$106/(60000*($B$99-$B$98)^2)+$B$103*$B$102/(200*($B$99-$B$98))</f>
        <v/>
      </c>
      <c r="C107" s="30" t="inlineStr">
        <is>
          <t>psi</t>
        </is>
      </c>
      <c r="D107" s="32">
        <f>IFERROR($B$107*6.894757,NA())</f>
        <v/>
      </c>
      <c r="E107" s="30" t="inlineStr">
        <is>
          <t>kPa</t>
        </is>
      </c>
    </row>
    <row r="108">
      <c r="A108" s="28" t="inlineStr">
        <is>
          <t>Equivalent density change</t>
        </is>
      </c>
      <c r="B108" s="51">
        <f>$B$107/(0.052*$B$105)</f>
        <v/>
      </c>
      <c r="C108" s="30" t="inlineStr">
        <is>
          <t>ppg</t>
        </is>
      </c>
      <c r="D108" s="42">
        <f>IFERROR($B$108*119.8264,NA())</f>
        <v/>
      </c>
      <c r="E108" s="30" t="inlineStr">
        <is>
          <t>kg/m3</t>
        </is>
      </c>
    </row>
    <row r="109">
      <c r="A109" s="28" t="inlineStr">
        <is>
          <t>EMW while pulling (swab)</t>
        </is>
      </c>
      <c r="B109" s="51">
        <f>$B$104-$B$108</f>
        <v/>
      </c>
      <c r="C109" s="30" t="inlineStr">
        <is>
          <t>ppg</t>
        </is>
      </c>
      <c r="D109" s="42">
        <f>IFERROR($B$109*119.8264,NA())</f>
        <v/>
      </c>
      <c r="E109" s="30" t="inlineStr">
        <is>
          <t>kg/m3</t>
        </is>
      </c>
      <c r="F109" s="27" t="inlineStr">
        <is>
          <t>Keep above pore/kick margin - swabbing lowers effective BHP.</t>
        </is>
      </c>
    </row>
    <row r="110">
      <c r="A110" s="28" t="inlineStr">
        <is>
          <t>EMW while running (surge)</t>
        </is>
      </c>
      <c r="B110" s="51">
        <f>$B$104+$B$108</f>
        <v/>
      </c>
      <c r="C110" s="30" t="inlineStr">
        <is>
          <t>ppg</t>
        </is>
      </c>
      <c r="D110" s="42">
        <f>IFERROR($B$110*119.8264,NA())</f>
        <v/>
      </c>
      <c r="E110" s="30" t="inlineStr">
        <is>
          <t>kg/m3</t>
        </is>
      </c>
      <c r="F110" s="27" t="inlineStr">
        <is>
          <t>Keep below frac/loss margin - surging raises effective BHP.</t>
        </is>
      </c>
    </row>
    <row r="112">
      <c r="A112" s="25" t="inlineStr">
        <is>
          <t>Maximum Line Speed for Allowable Swab</t>
        </is>
      </c>
      <c r="B112" s="26" t="n"/>
      <c r="C112" s="26" t="n"/>
      <c r="D112" s="26" t="n"/>
      <c r="E112" s="26" t="n"/>
      <c r="F112" s="49" t="inlineStr">
        <is>
          <t>Vmax = (dP_allow - L x YP/(200 x (Dtbg-Dt))) x 60000 x (Dtbg-Dt)^2 / (L x PV x (0.45 + Dt^2/(Dtbg^2-Dt^2)))</t>
        </is>
      </c>
    </row>
    <row r="113">
      <c r="A113" t="inlineStr"/>
      <c r="F113" s="27" t="inlineStr">
        <is>
          <t>Inverts the Bingham swab equation for the line speed that just reaches the allowable swab pressure.</t>
        </is>
      </c>
    </row>
    <row r="114">
      <c r="A114" s="28" t="inlineStr">
        <is>
          <t>Allowable swab pressure</t>
        </is>
      </c>
      <c r="B114" s="31" t="n">
        <v>150</v>
      </c>
      <c r="C114" s="30" t="inlineStr">
        <is>
          <t>psi</t>
        </is>
      </c>
      <c r="D114" s="32">
        <f>IFERROR($B$114*6.894757,NA())</f>
        <v/>
      </c>
      <c r="E114" s="30" t="inlineStr">
        <is>
          <t>kPa</t>
        </is>
      </c>
    </row>
    <row r="115">
      <c r="A115" s="28" t="inlineStr">
        <is>
          <t>Tool OD (Dt)</t>
        </is>
      </c>
      <c r="B115" s="33" t="n">
        <v>2.5</v>
      </c>
      <c r="C115" s="30" t="inlineStr">
        <is>
          <t>in</t>
        </is>
      </c>
      <c r="D115" s="34">
        <f>IFERROR($B$115*25.4,NA())</f>
        <v/>
      </c>
      <c r="E115" s="30" t="inlineStr">
        <is>
          <t>mm</t>
        </is>
      </c>
    </row>
    <row r="116">
      <c r="A116" s="28" t="inlineStr">
        <is>
          <t>Tubing ID (Dtbg)</t>
        </is>
      </c>
      <c r="B116" s="33" t="n">
        <v>2.992</v>
      </c>
      <c r="C116" s="30" t="inlineStr">
        <is>
          <t>in</t>
        </is>
      </c>
      <c r="D116" s="34">
        <f>IFERROR($B$116*25.4,NA())</f>
        <v/>
      </c>
      <c r="E116" s="30" t="inlineStr">
        <is>
          <t>mm</t>
        </is>
      </c>
    </row>
    <row r="117">
      <c r="A117" s="28" t="inlineStr">
        <is>
          <t>Fluid plastic viscosity (PV)</t>
        </is>
      </c>
      <c r="B117" s="31" t="n">
        <v>12</v>
      </c>
      <c r="C117" s="30" t="inlineStr">
        <is>
          <t>cP</t>
        </is>
      </c>
      <c r="D117" s="32">
        <f>IFERROR($B$117*1.0,NA())</f>
        <v/>
      </c>
      <c r="E117" s="30" t="inlineStr">
        <is>
          <t>mPa-s</t>
        </is>
      </c>
    </row>
    <row r="118">
      <c r="A118" s="28" t="inlineStr">
        <is>
          <t>Fluid yield point (YP)</t>
        </is>
      </c>
      <c r="B118" s="31" t="n">
        <v>10</v>
      </c>
      <c r="C118" s="30" t="inlineStr"/>
      <c r="F118" s="27" t="inlineStr">
        <is>
          <t>lb/100ft2</t>
        </is>
      </c>
    </row>
    <row r="119">
      <c r="A119" s="28" t="inlineStr">
        <is>
          <t>Tubing length below tool (L)</t>
        </is>
      </c>
      <c r="B119" s="31" t="n">
        <v>8000</v>
      </c>
      <c r="C119" s="30" t="inlineStr">
        <is>
          <t>ft</t>
        </is>
      </c>
      <c r="D119" s="32">
        <f>IFERROR($B$119*0.3048,NA())</f>
        <v/>
      </c>
      <c r="E119" s="30" t="inlineStr">
        <is>
          <t>m</t>
        </is>
      </c>
    </row>
    <row r="120">
      <c r="A120" s="28" t="inlineStr">
        <is>
          <t>Maximum line speed</t>
        </is>
      </c>
      <c r="B120" s="59">
        <f>MAX(0,($B$114-$B$119*$B$118/(200*($B$116-$B$115)))*60000*($B$116-$B$115)^2/($B$119*$B$117*(0.45+$B$115^2/($B$116^2-$B$115^2))))</f>
        <v/>
      </c>
      <c r="C120" s="30" t="inlineStr">
        <is>
          <t>ft/min</t>
        </is>
      </c>
      <c r="D120" s="32">
        <f>IFERROR($B$120*0.3048,NA())</f>
        <v/>
      </c>
      <c r="E120" s="30" t="inlineStr">
        <is>
          <t>m/min</t>
        </is>
      </c>
      <c r="F120" s="27" t="inlineStr">
        <is>
          <t>0 means the YP term alone exceeds the allowance - reduce tool OD or allowable.</t>
        </is>
      </c>
    </row>
  </sheetData>
  <sheetProtection selectLockedCells="0" selectUnlockedCells="0" sheet="1" objects="0" insertRows="1" insertHyperlinks="1" autoFilter="1" scenarios="0" formatColumns="0" deleteColumns="1" insertColumns="1" pivotTables="1" deleteRows="1" formatCells="1" formatRows="0" sort="1"/>
  <mergeCells count="8">
    <mergeCell ref="A38:F38"/>
    <mergeCell ref="A2:F2"/>
    <mergeCell ref="A51:F51"/>
    <mergeCell ref="A66:F66"/>
    <mergeCell ref="A1:F1"/>
    <mergeCell ref="A23:F23"/>
    <mergeCell ref="A94:F94"/>
    <mergeCell ref="A6:F6"/>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42.xml><?xml version="1.0" encoding="utf-8"?>
<worksheet xmlns="http://schemas.openxmlformats.org/spreadsheetml/2006/main">
  <sheetPr>
    <tabColor rgb="00C55A11"/>
    <outlinePr summaryBelow="1" summaryRight="1"/>
    <pageSetUpPr/>
  </sheetPr>
  <dimension ref="A1:F71"/>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Snubbing &amp; Hydraulic Workover</t>
        </is>
      </c>
      <c r="B1" s="2" t="n"/>
      <c r="C1" s="2" t="n"/>
      <c r="D1" s="2" t="n"/>
      <c r="E1" s="2" t="n"/>
      <c r="F1" s="2" t="n"/>
    </row>
    <row r="2">
      <c r="A2" s="20" t="inlineStr">
        <is>
          <t>Ejection force, pipe-light/pipe-heavy, snub force, buckling between guides, ram checks</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Forces &amp; Balance Point</t>
        </is>
      </c>
      <c r="B6" s="24" t="n"/>
      <c r="C6" s="24" t="n"/>
      <c r="D6" s="24" t="n"/>
      <c r="E6" s="24" t="n"/>
      <c r="F6" s="24" t="n"/>
    </row>
    <row r="8">
      <c r="A8" s="25" t="inlineStr">
        <is>
          <t>Wellhead Ejection Force</t>
        </is>
      </c>
      <c r="B8" s="26" t="n"/>
      <c r="C8" s="26" t="n"/>
      <c r="D8" s="26" t="n"/>
      <c r="E8" s="26" t="n"/>
      <c r="F8" s="49" t="inlineStr">
        <is>
          <t>F_ej [lbf] = WHP x pi/4 x OD^2</t>
        </is>
      </c>
    </row>
    <row r="9">
      <c r="A9" t="inlineStr"/>
      <c r="F9" s="27" t="inlineStr">
        <is>
          <t>Pressure acts on the full pipe OD area sealed at the stripper rams (closed-end pipe or plugged/BPV string).</t>
        </is>
      </c>
    </row>
    <row r="10">
      <c r="A10" s="28" t="inlineStr">
        <is>
          <t>Wellhead pressure (WHP)</t>
        </is>
      </c>
      <c r="B10" s="31" t="n">
        <v>3000</v>
      </c>
      <c r="C10" s="30" t="inlineStr">
        <is>
          <t>psi</t>
        </is>
      </c>
      <c r="D10" s="32">
        <f>IFERROR($B$10*6.894757,NA())</f>
        <v/>
      </c>
      <c r="E10" s="30" t="inlineStr">
        <is>
          <t>kPa</t>
        </is>
      </c>
    </row>
    <row r="11">
      <c r="A11" s="28" t="inlineStr">
        <is>
          <t>Pipe outside diameter (OD)</t>
        </is>
      </c>
      <c r="B11" s="33" t="n">
        <v>2.875</v>
      </c>
      <c r="C11" s="30" t="inlineStr">
        <is>
          <t>in</t>
        </is>
      </c>
      <c r="D11" s="34">
        <f>IFERROR($B$11*25.4,NA())</f>
        <v/>
      </c>
      <c r="E11" s="30" t="inlineStr">
        <is>
          <t>mm</t>
        </is>
      </c>
    </row>
    <row r="12">
      <c r="A12" s="28" t="inlineStr">
        <is>
          <t>Ejection force</t>
        </is>
      </c>
      <c r="B12" s="59">
        <f>$B$10*PI()/4*$B$11^2</f>
        <v/>
      </c>
      <c r="C12" s="30" t="inlineStr">
        <is>
          <t>lbf</t>
        </is>
      </c>
      <c r="D12" s="32">
        <f>IFERROR($B$12*0.004448222,NA())</f>
        <v/>
      </c>
      <c r="E12" s="30" t="inlineStr">
        <is>
          <t>kN</t>
        </is>
      </c>
    </row>
    <row r="14">
      <c r="A14" s="25" t="inlineStr">
        <is>
          <t>Pipe-Light / Pipe-Heavy &amp; Balance Point</t>
        </is>
      </c>
      <c r="B14" s="26" t="n"/>
      <c r="C14" s="26" t="n"/>
      <c r="D14" s="26" t="n"/>
      <c r="E14" s="26" t="n"/>
      <c r="F14" s="49" t="inlineStr">
        <is>
          <t>W_buoyed = w x (1 - MW/65.5) x depth;  balance depth = (F_ej + F_fric) / (w x BF)</t>
        </is>
      </c>
    </row>
    <row r="15">
      <c r="A15" t="inlineStr"/>
      <c r="F15" s="27" t="inlineStr">
        <is>
          <t>Below the balance depth the string weight exceeds the well's push and conventional (pipe-heavy) handling applies.</t>
        </is>
      </c>
    </row>
    <row r="16">
      <c r="A16" s="28" t="inlineStr">
        <is>
          <t>Pipe weight in air</t>
        </is>
      </c>
      <c r="B16" s="41" t="n">
        <v>6.5</v>
      </c>
      <c r="C16" s="30" t="inlineStr">
        <is>
          <t>lb/ft</t>
        </is>
      </c>
      <c r="D16" s="42">
        <f>IFERROR($B$16*1.488164,NA())</f>
        <v/>
      </c>
      <c r="E16" s="30" t="inlineStr">
        <is>
          <t>kg/m</t>
        </is>
      </c>
    </row>
    <row r="17">
      <c r="A17" s="28" t="inlineStr">
        <is>
          <t>Wellbore fluid density (MW)</t>
        </is>
      </c>
      <c r="B17" s="35" t="n">
        <v>9</v>
      </c>
      <c r="C17" s="30" t="inlineStr">
        <is>
          <t>ppg</t>
        </is>
      </c>
      <c r="D17" s="36">
        <f>IFERROR($B$17*119.8264,NA())</f>
        <v/>
      </c>
      <c r="E17" s="30" t="inlineStr">
        <is>
          <t>kg/m3</t>
        </is>
      </c>
    </row>
    <row r="18">
      <c r="A18" s="28" t="inlineStr">
        <is>
          <t>Pipe depth in well</t>
        </is>
      </c>
      <c r="B18" s="31" t="n">
        <v>1500</v>
      </c>
      <c r="C18" s="30" t="inlineStr">
        <is>
          <t>ft</t>
        </is>
      </c>
      <c r="D18" s="32">
        <f>IFERROR($B$18*0.3048,NA())</f>
        <v/>
      </c>
      <c r="E18" s="30" t="inlineStr">
        <is>
          <t>m</t>
        </is>
      </c>
    </row>
    <row r="19">
      <c r="A19" s="28" t="inlineStr">
        <is>
          <t>Buoyancy factor (BF)</t>
        </is>
      </c>
      <c r="B19" s="50">
        <f>1-$B$17/65.5</f>
        <v/>
      </c>
      <c r="C19" s="30" t="inlineStr"/>
    </row>
    <row r="20">
      <c r="A20" s="28" t="inlineStr">
        <is>
          <t>Buoyed string weight</t>
        </is>
      </c>
      <c r="B20" s="59">
        <f>$B$16*$B$19*$B$18</f>
        <v/>
      </c>
      <c r="C20" s="30" t="inlineStr">
        <is>
          <t>lbf</t>
        </is>
      </c>
      <c r="D20" s="32">
        <f>IFERROR($B$20*0.004448222,NA())</f>
        <v/>
      </c>
      <c r="E20" s="30" t="inlineStr">
        <is>
          <t>kN</t>
        </is>
      </c>
    </row>
    <row r="21">
      <c r="A21" s="28" t="inlineStr">
        <is>
          <t>Stripper / ram friction</t>
        </is>
      </c>
      <c r="B21" s="31" t="n">
        <v>2000</v>
      </c>
      <c r="C21" s="30" t="inlineStr">
        <is>
          <t>lbf</t>
        </is>
      </c>
      <c r="D21" s="32">
        <f>IFERROR($B$21*0.004448222,NA())</f>
        <v/>
      </c>
      <c r="E21" s="30" t="inlineStr">
        <is>
          <t>kN</t>
        </is>
      </c>
      <c r="F21" s="27" t="inlineStr">
        <is>
          <t>From ram/stripper energization; re-check whenever sealing pressure is changed.</t>
        </is>
      </c>
    </row>
    <row r="22">
      <c r="A22" s="28" t="inlineStr">
        <is>
          <t>Balance point depth (incl. friction)</t>
        </is>
      </c>
      <c r="B22" s="59">
        <f>($B$12+$B$21)/($B$16*$B$19)</f>
        <v/>
      </c>
      <c r="C22" s="30" t="inlineStr">
        <is>
          <t>ft</t>
        </is>
      </c>
      <c r="D22" s="32">
        <f>IFERROR($B$22*0.3048,NA())</f>
        <v/>
      </c>
      <c r="E22" s="30" t="inlineStr">
        <is>
          <t>m</t>
        </is>
      </c>
    </row>
    <row r="23">
      <c r="A23" s="28" t="inlineStr">
        <is>
          <t>String state</t>
        </is>
      </c>
      <c r="B23" s="72">
        <f>IF($B$20&gt;$B$12+$B$21,"PIPE HEAVY","PIPE LIGHT - snub required")</f>
        <v/>
      </c>
      <c r="C23" s="30" t="inlineStr"/>
    </row>
    <row r="25">
      <c r="A25" s="25" t="inlineStr">
        <is>
          <t>Snubbing Force Required</t>
        </is>
      </c>
      <c r="B25" s="26" t="n"/>
      <c r="C25" s="26" t="n"/>
      <c r="D25" s="26" t="n"/>
      <c r="E25" s="26" t="n"/>
      <c r="F25" s="49" t="inlineStr">
        <is>
          <t>F_snub = MAX(0, F_ej + F_fric - W_buoyed)</t>
        </is>
      </c>
    </row>
    <row r="26">
      <c r="A26" s="28" t="inlineStr">
        <is>
          <t>Snubbing force required</t>
        </is>
      </c>
      <c r="B26" s="59">
        <f>MAX(0,$B$12+$B$21-$B$20)</f>
        <v/>
      </c>
      <c r="C26" s="30" t="inlineStr">
        <is>
          <t>lbf</t>
        </is>
      </c>
      <c r="D26" s="32">
        <f>IFERROR($B$26*0.004448222,NA())</f>
        <v/>
      </c>
      <c r="E26" s="30" t="inlineStr">
        <is>
          <t>kN</t>
        </is>
      </c>
    </row>
    <row r="28">
      <c r="A28" s="25" t="inlineStr">
        <is>
          <t>Jack Capacity Check</t>
        </is>
      </c>
      <c r="B28" s="26" t="n"/>
      <c r="C28" s="26" t="n"/>
      <c r="D28" s="26" t="n"/>
      <c r="E28" s="26" t="n"/>
      <c r="F28" s="49" t="inlineStr">
        <is>
          <t>SF = jack snub capacity / F_snub</t>
        </is>
      </c>
    </row>
    <row r="29">
      <c r="A29" t="inlineStr"/>
      <c r="F29" s="27" t="inlineStr">
        <is>
          <t>Check both snub and lift ratings of the unit; travelling slips must also be rated for the pipe size at this load.</t>
        </is>
      </c>
    </row>
    <row r="30">
      <c r="A30" s="28" t="inlineStr">
        <is>
          <t>Jack snub capacity</t>
        </is>
      </c>
      <c r="B30" s="31" t="n">
        <v>170</v>
      </c>
      <c r="C30" s="30" t="inlineStr">
        <is>
          <t>klbf</t>
        </is>
      </c>
      <c r="D30" s="32">
        <f>IFERROR($B$30*4.448222,NA())</f>
        <v/>
      </c>
      <c r="E30" s="30" t="inlineStr">
        <is>
          <t>kN</t>
        </is>
      </c>
    </row>
    <row r="31">
      <c r="A31" s="28" t="inlineStr">
        <is>
          <t>Required safety factor</t>
        </is>
      </c>
      <c r="B31" s="41" t="n">
        <v>1.5</v>
      </c>
      <c r="C31" s="30" t="inlineStr"/>
    </row>
    <row r="32">
      <c r="A32" s="28" t="inlineStr">
        <is>
          <t>Actual safety factor</t>
        </is>
      </c>
      <c r="B32" s="51">
        <f>$B$30*1000/MAX($B$26,1)</f>
        <v/>
      </c>
      <c r="C32" s="30" t="inlineStr"/>
      <c r="F32" s="27" t="inlineStr">
        <is>
          <t>MAX(...,1) guards divide-by-zero when the string is pipe heavy.</t>
        </is>
      </c>
    </row>
    <row r="33">
      <c r="A33" s="28" t="inlineStr">
        <is>
          <t>Capacity check</t>
        </is>
      </c>
      <c r="B33" s="72">
        <f>IF($B$26=0,"PIPE HEAVY - no snub force needed",IF($B$32&gt;=$B$31,"OK","JACK CAPACITY INSUFFICIENT"))</f>
        <v/>
      </c>
      <c r="C33" s="30" t="inlineStr"/>
    </row>
    <row r="35" ht="20" customHeight="1">
      <c r="A35" s="23" t="inlineStr">
        <is>
          <t>Equalizing &amp; BOP Volumes</t>
        </is>
      </c>
      <c r="B35" s="24" t="n"/>
      <c r="C35" s="24" t="n"/>
      <c r="D35" s="24" t="n"/>
      <c r="E35" s="24" t="n"/>
      <c r="F35" s="24" t="n"/>
    </row>
    <row r="37">
      <c r="A37" s="25" t="inlineStr">
        <is>
          <t>Volume Between BOP Rams (Equalizing)</t>
        </is>
      </c>
      <c r="B37" s="26" t="n"/>
      <c r="C37" s="26" t="n"/>
      <c r="D37" s="26" t="n"/>
      <c r="E37" s="26" t="n"/>
      <c r="F37" s="49" t="inlineStr">
        <is>
          <t>V [bbl] = ID^2 / 1029.4 x L;  gal = bbl x 42</t>
        </is>
      </c>
    </row>
    <row r="38">
      <c r="A38" t="inlineStr"/>
      <c r="F38" s="27" t="inlineStr">
        <is>
          <t>Volume to pressurize/bleed when equalizing across rams while staging pipe in or out.</t>
        </is>
      </c>
    </row>
    <row r="39">
      <c r="A39" s="28" t="inlineStr">
        <is>
          <t>Spool / BOP bore ID</t>
        </is>
      </c>
      <c r="B39" s="33" t="n">
        <v>7.063</v>
      </c>
      <c r="C39" s="30" t="inlineStr">
        <is>
          <t>in</t>
        </is>
      </c>
      <c r="D39" s="34">
        <f>IFERROR($B$39*25.4,NA())</f>
        <v/>
      </c>
      <c r="E39" s="30" t="inlineStr">
        <is>
          <t>mm</t>
        </is>
      </c>
    </row>
    <row r="40">
      <c r="A40" s="28" t="inlineStr">
        <is>
          <t>Length between rams</t>
        </is>
      </c>
      <c r="B40" s="41" t="n">
        <v>8</v>
      </c>
      <c r="C40" s="30" t="inlineStr">
        <is>
          <t>ft</t>
        </is>
      </c>
      <c r="D40" s="42">
        <f>IFERROR($B$40*0.3048,NA())</f>
        <v/>
      </c>
      <c r="E40" s="30" t="inlineStr">
        <is>
          <t>m</t>
        </is>
      </c>
    </row>
    <row r="41">
      <c r="A41" s="28" t="inlineStr">
        <is>
          <t>Volume between rams</t>
        </is>
      </c>
      <c r="B41" s="50">
        <f>$B$39^2/1029.4*$B$40</f>
        <v/>
      </c>
      <c r="C41" s="30" t="inlineStr">
        <is>
          <t>bbl</t>
        </is>
      </c>
      <c r="D41" s="34">
        <f>IFERROR($B$41*0.1589873,NA())</f>
        <v/>
      </c>
      <c r="E41" s="30" t="inlineStr">
        <is>
          <t>m3</t>
        </is>
      </c>
    </row>
    <row r="42">
      <c r="A42" s="28" t="inlineStr">
        <is>
          <t>Volume between rams</t>
        </is>
      </c>
      <c r="B42" s="54">
        <f>$B$41*42</f>
        <v/>
      </c>
      <c r="C42" s="30" t="inlineStr">
        <is>
          <t>gal</t>
        </is>
      </c>
      <c r="D42" s="40">
        <f>IFERROR($B$42*3.785412,NA())</f>
        <v/>
      </c>
      <c r="E42" s="30" t="inlineStr">
        <is>
          <t>L</t>
        </is>
      </c>
    </row>
    <row r="44" ht="20" customHeight="1">
      <c r="A44" s="23" t="inlineStr">
        <is>
          <t>Buckling Between Guides</t>
        </is>
      </c>
      <c r="B44" s="24" t="n"/>
      <c r="C44" s="24" t="n"/>
      <c r="D44" s="24" t="n"/>
      <c r="E44" s="24" t="n"/>
      <c r="F44" s="24" t="n"/>
    </row>
    <row r="46">
      <c r="A46" s="25" t="inlineStr">
        <is>
          <t>Euler Critical Buckling Load (Guided Pipe)</t>
        </is>
      </c>
      <c r="B46" s="26" t="n"/>
      <c r="C46" s="26" t="n"/>
      <c r="D46" s="26" t="n"/>
      <c r="E46" s="26" t="n"/>
      <c r="F46" s="49" t="inlineStr">
        <is>
          <t>F_cr = pi^2 x E x I / (L_g x 12)^2;  I = pi/64 x (OD^4 - ID^4);  E = 30e6 psi</t>
        </is>
      </c>
    </row>
    <row r="47">
      <c r="A47" t="inlineStr"/>
      <c r="F47" s="27" t="inlineStr">
        <is>
          <t>Pinned-pinned Euler column between guides / window openings - the classic snubbing check for the unsupported interval between stationary slips and stripper. Shorten guide spacing if the check fails; unguided pipe above the BOP buckles at far lower load.</t>
        </is>
      </c>
    </row>
    <row r="48">
      <c r="A48" s="28" t="inlineStr">
        <is>
          <t>Pipe inside diameter (ID)</t>
        </is>
      </c>
      <c r="B48" s="33" t="n">
        <v>2.441</v>
      </c>
      <c r="C48" s="30" t="inlineStr">
        <is>
          <t>in</t>
        </is>
      </c>
      <c r="D48" s="34">
        <f>IFERROR($B$48*25.4,NA())</f>
        <v/>
      </c>
      <c r="E48" s="30" t="inlineStr">
        <is>
          <t>mm</t>
        </is>
      </c>
    </row>
    <row r="49">
      <c r="A49" s="28" t="inlineStr">
        <is>
          <t>Guide spacing (unsupported length, L_g)</t>
        </is>
      </c>
      <c r="B49" s="41" t="n">
        <v>4</v>
      </c>
      <c r="C49" s="30" t="inlineStr">
        <is>
          <t>ft</t>
        </is>
      </c>
      <c r="D49" s="42">
        <f>IFERROR($B$49*0.3048,NA())</f>
        <v/>
      </c>
      <c r="E49" s="30" t="inlineStr">
        <is>
          <t>m</t>
        </is>
      </c>
    </row>
    <row r="50">
      <c r="A50" s="28" t="inlineStr">
        <is>
          <t>Moment of inertia (I)</t>
        </is>
      </c>
      <c r="B50" s="50">
        <f>PI()/64*($B$11^4-$B$48^4)</f>
        <v/>
      </c>
      <c r="C50" s="30" t="inlineStr">
        <is>
          <t>in4</t>
        </is>
      </c>
      <c r="D50" s="34">
        <f>IFERROR($B$50*41.62314,NA())</f>
        <v/>
      </c>
      <c r="E50" s="30" t="inlineStr">
        <is>
          <t>cm4</t>
        </is>
      </c>
    </row>
    <row r="51">
      <c r="A51" s="28" t="inlineStr">
        <is>
          <t>Critical buckling load (F_cr)</t>
        </is>
      </c>
      <c r="B51" s="59">
        <f>PI()^2*30000000*$B$50/($B$49*12)^2</f>
        <v/>
      </c>
      <c r="C51" s="30" t="inlineStr">
        <is>
          <t>lbf</t>
        </is>
      </c>
      <c r="D51" s="32">
        <f>IFERROR($B$51*0.004448222,NA())</f>
        <v/>
      </c>
      <c r="E51" s="30" t="inlineStr">
        <is>
          <t>kN</t>
        </is>
      </c>
    </row>
    <row r="52">
      <c r="A52" s="28" t="inlineStr">
        <is>
          <t>Required buckling safety factor</t>
        </is>
      </c>
      <c r="B52" s="41" t="n">
        <v>2</v>
      </c>
      <c r="C52" s="30" t="inlineStr"/>
    </row>
    <row r="53">
      <c r="A53" s="28" t="inlineStr">
        <is>
          <t>Buckling check</t>
        </is>
      </c>
      <c r="B53" s="72">
        <f>IF($B$26*$B$52&lt;=$B$51,"OK","BUCKLING RISK - shorten guide spacing or reduce snub force")</f>
        <v/>
      </c>
      <c r="C53" s="30" t="inlineStr"/>
    </row>
    <row r="55" ht="20" customHeight="1">
      <c r="A55" s="23" t="inlineStr">
        <is>
          <t>Pressure &amp; Ram Limits</t>
        </is>
      </c>
      <c r="B55" s="24" t="n"/>
      <c r="C55" s="24" t="n"/>
      <c r="D55" s="24" t="n"/>
      <c r="E55" s="24" t="n"/>
      <c r="F55" s="24" t="n"/>
    </row>
    <row r="57">
      <c r="A57" s="25" t="inlineStr">
        <is>
          <t>Maximum WHP for Chosen Pipe</t>
        </is>
      </c>
      <c r="B57" s="26" t="n"/>
      <c r="C57" s="26" t="n"/>
      <c r="D57" s="26" t="n"/>
      <c r="E57" s="26" t="n"/>
      <c r="F57" s="49" t="inlineStr">
        <is>
          <t>WHP_max = MIN(burst rating, collapse rating) / SF</t>
        </is>
      </c>
    </row>
    <row r="58">
      <c r="A58" t="inlineStr"/>
      <c r="F58" s="27" t="inlineStr">
        <is>
          <t>Simplified screen: worst case assumes full WHP as differential either way (empty or plugged pipe). Use the tubular design sheet for combined-load checks.</t>
        </is>
      </c>
    </row>
    <row r="59">
      <c r="A59" s="28" t="inlineStr">
        <is>
          <t>Pipe burst rating</t>
        </is>
      </c>
      <c r="B59" s="31" t="n">
        <v>10570</v>
      </c>
      <c r="C59" s="30" t="inlineStr">
        <is>
          <t>psi</t>
        </is>
      </c>
      <c r="D59" s="32">
        <f>IFERROR($B$59*6.894757,NA())</f>
        <v/>
      </c>
      <c r="E59" s="30" t="inlineStr">
        <is>
          <t>kPa</t>
        </is>
      </c>
    </row>
    <row r="60">
      <c r="A60" s="28" t="inlineStr">
        <is>
          <t>Pipe collapse rating</t>
        </is>
      </c>
      <c r="B60" s="31" t="n">
        <v>11160</v>
      </c>
      <c r="C60" s="30" t="inlineStr">
        <is>
          <t>psi</t>
        </is>
      </c>
      <c r="D60" s="32">
        <f>IFERROR($B$60*6.894757,NA())</f>
        <v/>
      </c>
      <c r="E60" s="30" t="inlineStr">
        <is>
          <t>kPa</t>
        </is>
      </c>
    </row>
    <row r="61">
      <c r="A61" s="28" t="inlineStr">
        <is>
          <t>Design safety factor</t>
        </is>
      </c>
      <c r="B61" s="41" t="n">
        <v>1.25</v>
      </c>
      <c r="C61" s="30" t="inlineStr"/>
    </row>
    <row r="62">
      <c r="A62" s="28" t="inlineStr">
        <is>
          <t>Maximum allowable WHP</t>
        </is>
      </c>
      <c r="B62" s="59">
        <f>MIN($B$59,$B$60)/$B$61</f>
        <v/>
      </c>
      <c r="C62" s="30" t="inlineStr">
        <is>
          <t>psi</t>
        </is>
      </c>
      <c r="D62" s="32">
        <f>IFERROR($B$62*6.894757,NA())</f>
        <v/>
      </c>
      <c r="E62" s="30" t="inlineStr">
        <is>
          <t>kPa</t>
        </is>
      </c>
    </row>
    <row r="63">
      <c r="A63" s="28" t="inlineStr">
        <is>
          <t>Current WHP check</t>
        </is>
      </c>
      <c r="B63" s="72">
        <f>IF($B$10&lt;=$B$62,"OK","WHP EXCEEDS PIPE RATING / SF")</f>
        <v/>
      </c>
      <c r="C63" s="30" t="inlineStr"/>
    </row>
    <row r="65">
      <c r="A65" s="25" t="inlineStr">
        <is>
          <t>Shear Ram Capability Check</t>
        </is>
      </c>
      <c r="B65" s="26" t="n"/>
      <c r="C65" s="26" t="n"/>
      <c r="D65" s="26" t="n"/>
      <c r="E65" s="26" t="n"/>
      <c r="F65" s="49" t="inlineStr">
        <is>
          <t>F_shear ~ 0.577 x Yp x A_steel  (von Mises shear, approximate)</t>
        </is>
      </c>
    </row>
    <row r="66">
      <c r="A66" t="inlineStr"/>
      <c r="F66" s="27" t="inlineStr">
        <is>
          <t>Rough screen only - actual shear force depends on ram blade design and WHP assist. Always confirm against the manufacturer shear tables for this pipe at actual WHP.</t>
        </is>
      </c>
    </row>
    <row r="67">
      <c r="A67" s="28" t="inlineStr">
        <is>
          <t>Pipe yield strength (Yp)</t>
        </is>
      </c>
      <c r="B67" s="31" t="n">
        <v>80000</v>
      </c>
      <c r="C67" s="30" t="inlineStr">
        <is>
          <t>psi</t>
        </is>
      </c>
      <c r="D67" s="32">
        <f>IFERROR($B$67*6.894757,NA())</f>
        <v/>
      </c>
      <c r="E67" s="30" t="inlineStr">
        <is>
          <t>kPa</t>
        </is>
      </c>
    </row>
    <row r="68">
      <c r="A68" s="28" t="inlineStr">
        <is>
          <t>Steel cross-section area</t>
        </is>
      </c>
      <c r="B68" s="50">
        <f>PI()/4*($B$11^2-$B$48^2)</f>
        <v/>
      </c>
      <c r="C68" s="30" t="inlineStr">
        <is>
          <t>in2</t>
        </is>
      </c>
      <c r="D68" s="34">
        <f>IFERROR($B$68*6.4516,NA())</f>
        <v/>
      </c>
      <c r="E68" s="30" t="inlineStr">
        <is>
          <t>cm2</t>
        </is>
      </c>
    </row>
    <row r="69">
      <c r="A69" s="28" t="inlineStr">
        <is>
          <t>Estimated force to shear pipe</t>
        </is>
      </c>
      <c r="B69" s="59">
        <f>0.577*$B$67*$B$68</f>
        <v/>
      </c>
      <c r="C69" s="30" t="inlineStr">
        <is>
          <t>lbf</t>
        </is>
      </c>
      <c r="D69" s="32">
        <f>IFERROR($B$69*0.004448222,NA())</f>
        <v/>
      </c>
      <c r="E69" s="30" t="inlineStr">
        <is>
          <t>kN</t>
        </is>
      </c>
    </row>
    <row r="70">
      <c r="A70" s="28" t="inlineStr">
        <is>
          <t>Shear ram shearing capacity</t>
        </is>
      </c>
      <c r="B70" s="31" t="n">
        <v>250000</v>
      </c>
      <c r="C70" s="30" t="inlineStr">
        <is>
          <t>lbf</t>
        </is>
      </c>
      <c r="D70" s="32">
        <f>IFERROR($B$70*0.004448222,NA())</f>
        <v/>
      </c>
      <c r="E70" s="30" t="inlineStr">
        <is>
          <t>kN</t>
        </is>
      </c>
    </row>
    <row r="71">
      <c r="A71" s="28" t="inlineStr">
        <is>
          <t>Shear check</t>
        </is>
      </c>
      <c r="B71" s="72">
        <f>IF($B$70&gt;=$B$69,"OK - rams should shear this pipe","VERIFY - rams may not shear, check tables")</f>
        <v/>
      </c>
      <c r="C71" s="30" t="inlineStr"/>
    </row>
  </sheetData>
  <sheetProtection selectLockedCells="0" selectUnlockedCells="0" sheet="1" objects="0" insertRows="1" insertHyperlinks="1" autoFilter="1" scenarios="0" formatColumns="0" deleteColumns="1" insertColumns="1" pivotTables="1" deleteRows="1" formatCells="1" formatRows="0" sort="1"/>
  <mergeCells count="6">
    <mergeCell ref="A2:F2"/>
    <mergeCell ref="A44:F44"/>
    <mergeCell ref="A1:F1"/>
    <mergeCell ref="A6:F6"/>
    <mergeCell ref="A35:F35"/>
    <mergeCell ref="A55:F55"/>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43.xml><?xml version="1.0" encoding="utf-8"?>
<worksheet xmlns="http://schemas.openxmlformats.org/spreadsheetml/2006/main">
  <sheetPr>
    <tabColor rgb="00C55A11"/>
    <outlinePr summaryBelow="1" summaryRight="1"/>
    <pageSetUpPr/>
  </sheetPr>
  <dimension ref="A1:F78"/>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Well Kill for Interventions</t>
        </is>
      </c>
      <c r="B1" s="2" t="n"/>
      <c r="C1" s="2" t="n"/>
      <c r="D1" s="2" t="n"/>
      <c r="E1" s="2" t="n"/>
      <c r="F1" s="2" t="n"/>
    </row>
    <row r="2">
      <c r="A2" s="20" t="inlineStr">
        <is>
          <t>Kill fluid density, bullheading, lubricate &amp; bleed, circulation kills, volumetric control</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Kill Fluid</t>
        </is>
      </c>
      <c r="B6" s="24" t="n"/>
      <c r="C6" s="24" t="n"/>
      <c r="D6" s="24" t="n"/>
      <c r="E6" s="24" t="n"/>
      <c r="F6" s="24" t="n"/>
    </row>
    <row r="8">
      <c r="A8" s="25" t="inlineStr">
        <is>
          <t>Kill Fluid Density for Target Overbalance</t>
        </is>
      </c>
      <c r="B8" s="26" t="n"/>
      <c r="C8" s="26" t="n"/>
      <c r="D8" s="26" t="n"/>
      <c r="E8" s="26" t="n"/>
      <c r="F8" s="49" t="inlineStr">
        <is>
          <t>KWM [ppg] = (P_res + OB) / (0.052 x TVD_perfs)</t>
        </is>
      </c>
    </row>
    <row r="9">
      <c r="A9" s="28" t="inlineStr">
        <is>
          <t>Reservoir pressure at perfs (P_res)</t>
        </is>
      </c>
      <c r="B9" s="31" t="n">
        <v>3600</v>
      </c>
      <c r="C9" s="30" t="inlineStr">
        <is>
          <t>psi</t>
        </is>
      </c>
      <c r="D9" s="32">
        <f>IFERROR($B$9*6.894757,NA())</f>
        <v/>
      </c>
      <c r="E9" s="30" t="inlineStr">
        <is>
          <t>kPa</t>
        </is>
      </c>
    </row>
    <row r="10">
      <c r="A10" s="28" t="inlineStr">
        <is>
          <t>TVD of perforations</t>
        </is>
      </c>
      <c r="B10" s="31" t="n">
        <v>9000</v>
      </c>
      <c r="C10" s="30" t="inlineStr">
        <is>
          <t>ft</t>
        </is>
      </c>
      <c r="D10" s="32">
        <f>IFERROR($B$10*0.3048,NA())</f>
        <v/>
      </c>
      <c r="E10" s="30" t="inlineStr">
        <is>
          <t>m</t>
        </is>
      </c>
    </row>
    <row r="11">
      <c r="A11" s="28" t="inlineStr">
        <is>
          <t>Target overbalance (OB)</t>
        </is>
      </c>
      <c r="B11" s="31" t="n">
        <v>200</v>
      </c>
      <c r="C11" s="30" t="inlineStr">
        <is>
          <t>psi</t>
        </is>
      </c>
      <c r="D11" s="32">
        <f>IFERROR($B$11*6.894757,NA())</f>
        <v/>
      </c>
      <c r="E11" s="30" t="inlineStr">
        <is>
          <t>kPa</t>
        </is>
      </c>
    </row>
    <row r="12">
      <c r="A12" s="28" t="inlineStr">
        <is>
          <t>Kill fluid density (exact)</t>
        </is>
      </c>
      <c r="B12" s="50">
        <f>($B$9+$B$11)/(0.052*$B$10)</f>
        <v/>
      </c>
      <c r="C12" s="30" t="inlineStr">
        <is>
          <t>ppg</t>
        </is>
      </c>
      <c r="D12" s="34">
        <f>IFERROR($B$12*119.8264,NA())</f>
        <v/>
      </c>
      <c r="E12" s="30" t="inlineStr">
        <is>
          <t>kg/m3</t>
        </is>
      </c>
    </row>
    <row r="13">
      <c r="A13" s="28" t="inlineStr">
        <is>
          <t>Kill fluid density (KWM, rounded up)</t>
        </is>
      </c>
      <c r="B13" s="54">
        <f>ROUNDUP(ROUND($B$12*10,6),0)/10</f>
        <v/>
      </c>
      <c r="C13" s="30" t="inlineStr">
        <is>
          <t>ppg</t>
        </is>
      </c>
      <c r="D13" s="40">
        <f>IFERROR($B$13*119.8264,NA())</f>
        <v/>
      </c>
      <c r="E13" s="30" t="inlineStr">
        <is>
          <t>kg/m3</t>
        </is>
      </c>
      <c r="F13" s="27" t="inlineStr">
        <is>
          <t>Rounding rule: kill weight fluid density rounds UP to the nearest 0.1 ppg.</t>
        </is>
      </c>
    </row>
    <row r="15" ht="20" customHeight="1">
      <c r="A15" s="23" t="inlineStr">
        <is>
          <t>Bullheading</t>
        </is>
      </c>
      <c r="B15" s="24" t="n"/>
      <c r="C15" s="24" t="n"/>
      <c r="D15" s="24" t="n"/>
      <c r="E15" s="24" t="n"/>
      <c r="F15" s="24" t="n"/>
    </row>
    <row r="17">
      <c r="A17" s="25" t="inlineStr">
        <is>
          <t>Bullhead Surface Pressure - Start &amp; End</t>
        </is>
      </c>
      <c r="B17" s="26" t="n"/>
      <c r="C17" s="26" t="n"/>
      <c r="D17" s="26" t="n"/>
      <c r="E17" s="26" t="n"/>
      <c r="F17" s="49" t="inlineStr">
        <is>
          <t>P_surf = P_res - P_hyd(column) + P_fric;  start: gas column;  end: kill-fluid column</t>
        </is>
      </c>
    </row>
    <row r="18">
      <c r="A18" t="inlineStr"/>
      <c r="F18" s="27" t="inlineStr">
        <is>
          <t>Start of job: tubing full of gas (worst case, highest surface pressure). End of job: tubing full of kill fluid. Friction from planned pump rate.</t>
        </is>
      </c>
    </row>
    <row r="19">
      <c r="A19" s="28" t="inlineStr">
        <is>
          <t>Gas column gradient</t>
        </is>
      </c>
      <c r="B19" s="33" t="n">
        <v>0.1</v>
      </c>
      <c r="C19" s="30" t="inlineStr">
        <is>
          <t>psi/ft</t>
        </is>
      </c>
      <c r="D19" s="34">
        <f>IFERROR($B$19*22.62059,NA())</f>
        <v/>
      </c>
      <c r="E19" s="30" t="inlineStr">
        <is>
          <t>kPa/m</t>
        </is>
      </c>
      <c r="F19" s="27" t="inlineStr">
        <is>
          <t>Dry gas ~0.05-0.12 psi/ft depending on pressure and SG; condensate/oil higher.</t>
        </is>
      </c>
    </row>
    <row r="20">
      <c r="A20" s="28" t="inlineStr">
        <is>
          <t>Tubing friction at pump rate</t>
        </is>
      </c>
      <c r="B20" s="31" t="n">
        <v>300</v>
      </c>
      <c r="C20" s="30" t="inlineStr">
        <is>
          <t>psi</t>
        </is>
      </c>
      <c r="D20" s="32">
        <f>IFERROR($B$20*6.894757,NA())</f>
        <v/>
      </c>
      <c r="E20" s="30" t="inlineStr">
        <is>
          <t>kPa</t>
        </is>
      </c>
    </row>
    <row r="21">
      <c r="A21" s="28" t="inlineStr">
        <is>
          <t>Surface pressure at start (gas-filled)</t>
        </is>
      </c>
      <c r="B21" s="59">
        <f>MAX(0,$B$9-$B$19*$B$10+$B$20)</f>
        <v/>
      </c>
      <c r="C21" s="30" t="inlineStr">
        <is>
          <t>psi</t>
        </is>
      </c>
      <c r="D21" s="32">
        <f>IFERROR($B$21*6.894757,NA())</f>
        <v/>
      </c>
      <c r="E21" s="30" t="inlineStr">
        <is>
          <t>kPa</t>
        </is>
      </c>
    </row>
    <row r="22">
      <c r="A22" s="28" t="inlineStr">
        <is>
          <t>Surface pressure at end (kill-filled)</t>
        </is>
      </c>
      <c r="B22" s="59">
        <f>MAX(0,$B$9-0.052*$B$13*$B$10+$B$20)</f>
        <v/>
      </c>
      <c r="C22" s="30" t="inlineStr">
        <is>
          <t>psi</t>
        </is>
      </c>
      <c r="D22" s="32">
        <f>IFERROR($B$22*6.894757,NA())</f>
        <v/>
      </c>
      <c r="E22" s="30" t="inlineStr">
        <is>
          <t>kPa</t>
        </is>
      </c>
    </row>
    <row r="23">
      <c r="A23" s="28" t="inlineStr">
        <is>
          <t>Tubing burst rating (derated)</t>
        </is>
      </c>
      <c r="B23" s="31" t="n">
        <v>7700</v>
      </c>
      <c r="C23" s="30" t="inlineStr">
        <is>
          <t>psi</t>
        </is>
      </c>
      <c r="D23" s="32">
        <f>IFERROR($B$23*6.894757,NA())</f>
        <v/>
      </c>
      <c r="E23" s="30" t="inlineStr">
        <is>
          <t>kPa</t>
        </is>
      </c>
      <c r="F23" s="27" t="inlineStr">
        <is>
          <t>Derate for wear/corrosion and apply design factor before entering here.</t>
        </is>
      </c>
    </row>
    <row r="24">
      <c r="A24" s="28" t="inlineStr">
        <is>
          <t>Wellhead / tree working pressure</t>
        </is>
      </c>
      <c r="B24" s="31" t="n">
        <v>10000</v>
      </c>
      <c r="C24" s="30" t="inlineStr">
        <is>
          <t>psi</t>
        </is>
      </c>
      <c r="D24" s="32">
        <f>IFERROR($B$24*6.894757,NA())</f>
        <v/>
      </c>
      <c r="E24" s="30" t="inlineStr">
        <is>
          <t>kPa</t>
        </is>
      </c>
    </row>
    <row r="25">
      <c r="A25" s="28" t="inlineStr">
        <is>
          <t>Maximum allowable surface pressure</t>
        </is>
      </c>
      <c r="B25" s="59">
        <f>ROUNDUP(ROUND(MIN($B$23,$B$24),6),0)</f>
        <v/>
      </c>
      <c r="C25" s="30" t="inlineStr">
        <is>
          <t>psi</t>
        </is>
      </c>
      <c r="D25" s="32">
        <f>IFERROR($B$25*6.894757,NA())</f>
        <v/>
      </c>
      <c r="E25" s="30" t="inlineStr">
        <is>
          <t>kPa</t>
        </is>
      </c>
      <c r="F25" s="27" t="inlineStr">
        <is>
          <t>Rounding rule: maximized values round UP to whole psi.</t>
        </is>
      </c>
    </row>
    <row r="26">
      <c r="A26" s="28" t="inlineStr">
        <is>
          <t>Surface pressure check</t>
        </is>
      </c>
      <c r="B26" s="72">
        <f>IF(MAX($B$21,$B$22)&lt;=$B$25,"OK","EXCEEDS TUBING/WELLHEAD LIMIT - do not bullhead")</f>
        <v/>
      </c>
      <c r="C26" s="30" t="inlineStr"/>
    </row>
    <row r="28">
      <c r="A28" s="25" t="inlineStr">
        <is>
          <t>Bullhead Volume &amp; Time</t>
        </is>
      </c>
      <c r="B28" s="26" t="n"/>
      <c r="C28" s="26" t="n"/>
      <c r="D28" s="26" t="n"/>
      <c r="E28" s="26" t="n"/>
      <c r="F28" s="49" t="inlineStr">
        <is>
          <t>V = tubing capacity x MD x excess factor;  capacity [bbl/ft] = ID^2 / 1029.4</t>
        </is>
      </c>
    </row>
    <row r="29">
      <c r="A29" s="28" t="inlineStr">
        <is>
          <t>Tubing ID</t>
        </is>
      </c>
      <c r="B29" s="33" t="n">
        <v>2.992</v>
      </c>
      <c r="C29" s="30" t="inlineStr">
        <is>
          <t>in</t>
        </is>
      </c>
      <c r="D29" s="34">
        <f>IFERROR($B$29*25.4,NA())</f>
        <v/>
      </c>
      <c r="E29" s="30" t="inlineStr">
        <is>
          <t>mm</t>
        </is>
      </c>
    </row>
    <row r="30">
      <c r="A30" s="28" t="inlineStr">
        <is>
          <t>Tubing length to perfs (MD)</t>
        </is>
      </c>
      <c r="B30" s="31" t="n">
        <v>9200</v>
      </c>
      <c r="C30" s="30" t="inlineStr">
        <is>
          <t>ft</t>
        </is>
      </c>
      <c r="D30" s="32">
        <f>IFERROR($B$30*0.3048,NA())</f>
        <v/>
      </c>
      <c r="E30" s="30" t="inlineStr">
        <is>
          <t>m</t>
        </is>
      </c>
    </row>
    <row r="31">
      <c r="A31" s="28" t="inlineStr">
        <is>
          <t>Tubing capacity</t>
        </is>
      </c>
      <c r="B31" s="52">
        <f>$B$29^2/1029.4</f>
        <v/>
      </c>
      <c r="C31" s="30" t="inlineStr">
        <is>
          <t>bbl/ft</t>
        </is>
      </c>
      <c r="D31" s="53">
        <f>IFERROR($B$31*0.5216119,NA())</f>
        <v/>
      </c>
      <c r="E31" s="30" t="inlineStr">
        <is>
          <t>m3/m</t>
        </is>
      </c>
    </row>
    <row r="32">
      <c r="A32" s="28" t="inlineStr">
        <is>
          <t>Tubing volume</t>
        </is>
      </c>
      <c r="B32" s="54">
        <f>$B$31*$B$30</f>
        <v/>
      </c>
      <c r="C32" s="30" t="inlineStr">
        <is>
          <t>bbl</t>
        </is>
      </c>
      <c r="D32" s="40">
        <f>IFERROR($B$32*0.1589873,NA())</f>
        <v/>
      </c>
      <c r="E32" s="30" t="inlineStr">
        <is>
          <t>m3</t>
        </is>
      </c>
    </row>
    <row r="33">
      <c r="A33" s="28" t="inlineStr">
        <is>
          <t>Excess factor</t>
        </is>
      </c>
      <c r="B33" s="41" t="n">
        <v>1.5</v>
      </c>
      <c r="C33" s="30" t="inlineStr"/>
      <c r="F33" s="27" t="inlineStr">
        <is>
          <t>1.2-2.0 typical: pushes the gas/kill interface and any influx back into the formation.</t>
        </is>
      </c>
    </row>
    <row r="34">
      <c r="A34" s="28" t="inlineStr">
        <is>
          <t>Bullhead volume to pump</t>
        </is>
      </c>
      <c r="B34" s="54">
        <f>$B$32*$B$33</f>
        <v/>
      </c>
      <c r="C34" s="30" t="inlineStr">
        <is>
          <t>bbl</t>
        </is>
      </c>
      <c r="D34" s="40">
        <f>IFERROR($B$34*0.1589873,NA())</f>
        <v/>
      </c>
      <c r="E34" s="30" t="inlineStr">
        <is>
          <t>m3</t>
        </is>
      </c>
    </row>
    <row r="35">
      <c r="A35" s="28" t="inlineStr">
        <is>
          <t>Bullhead pump rate</t>
        </is>
      </c>
      <c r="B35" s="41" t="n">
        <v>2</v>
      </c>
      <c r="C35" s="30" t="inlineStr">
        <is>
          <t>bbl/min</t>
        </is>
      </c>
      <c r="D35" s="42">
        <f>IFERROR($B$35*0.1589873,NA())</f>
        <v/>
      </c>
      <c r="E35" s="30" t="inlineStr">
        <is>
          <t>m3/min</t>
        </is>
      </c>
    </row>
    <row r="36">
      <c r="A36" s="28" t="inlineStr">
        <is>
          <t>Pumping time</t>
        </is>
      </c>
      <c r="B36" s="60">
        <f>$B$34/$B$35</f>
        <v/>
      </c>
      <c r="C36" s="30" t="inlineStr"/>
      <c r="F36" s="27" t="inlineStr">
        <is>
          <t>minutes</t>
        </is>
      </c>
    </row>
    <row r="38">
      <c r="A38" s="25" t="inlineStr">
        <is>
          <t>Injection Pressure vs Frac Gradient Check</t>
        </is>
      </c>
      <c r="B38" s="26" t="n"/>
      <c r="C38" s="26" t="n"/>
      <c r="D38" s="26" t="n"/>
      <c r="E38" s="26" t="n"/>
      <c r="F38" s="49" t="inlineStr">
        <is>
          <t>P_frac = frac grad x TVD;  max P_surf vs frac = P_frac - 0.052 x KWM x TVD + P_fric</t>
        </is>
      </c>
    </row>
    <row r="39">
      <c r="A39" t="inlineStr"/>
      <c r="F39" s="27" t="inlineStr">
        <is>
          <t>Keep BHP below frac pressure at the perfs unless deliberately bullheading above frac (a last-resort decision). BHP = P_surf + hydrostatic - friction.</t>
        </is>
      </c>
    </row>
    <row r="40">
      <c r="A40" s="28" t="inlineStr">
        <is>
          <t>Fracture gradient at perfs</t>
        </is>
      </c>
      <c r="B40" s="33" t="n">
        <v>0.75</v>
      </c>
      <c r="C40" s="30" t="inlineStr">
        <is>
          <t>psi/ft</t>
        </is>
      </c>
      <c r="D40" s="34">
        <f>IFERROR($B$40*22.62059,NA())</f>
        <v/>
      </c>
      <c r="E40" s="30" t="inlineStr">
        <is>
          <t>kPa/m</t>
        </is>
      </c>
    </row>
    <row r="41">
      <c r="A41" s="28" t="inlineStr">
        <is>
          <t>Fracture pressure at perfs</t>
        </is>
      </c>
      <c r="B41" s="59">
        <f>$B$40*$B$10</f>
        <v/>
      </c>
      <c r="C41" s="30" t="inlineStr">
        <is>
          <t>psi</t>
        </is>
      </c>
      <c r="D41" s="32">
        <f>IFERROR($B$41*6.894757,NA())</f>
        <v/>
      </c>
      <c r="E41" s="30" t="inlineStr">
        <is>
          <t>kPa</t>
        </is>
      </c>
    </row>
    <row r="42">
      <c r="A42" s="28" t="inlineStr">
        <is>
          <t>Max surface pressure to stay below frac</t>
        </is>
      </c>
      <c r="B42" s="59">
        <f>ROUNDUP(ROUND($B$41-0.052*$B$13*$B$10+$B$20,6),0)</f>
        <v/>
      </c>
      <c r="C42" s="30" t="inlineStr">
        <is>
          <t>psi</t>
        </is>
      </c>
      <c r="D42" s="32">
        <f>IFERROR($B$42*6.894757,NA())</f>
        <v/>
      </c>
      <c r="E42" s="30" t="inlineStr">
        <is>
          <t>kPa</t>
        </is>
      </c>
      <c r="F42" s="27" t="inlineStr">
        <is>
          <t>Rounding rule: maximized values round UP to whole psi.</t>
        </is>
      </c>
    </row>
    <row r="43">
      <c r="A43" s="28" t="inlineStr">
        <is>
          <t>Frac check at start-of-job pressure</t>
        </is>
      </c>
      <c r="B43" s="72">
        <f>IF($B$21&lt;=$B$42,"OK - below frac","ABOVE FRAC - reduce rate or accept fracturing")</f>
        <v/>
      </c>
      <c r="C43" s="30" t="inlineStr"/>
    </row>
    <row r="45" ht="20" customHeight="1">
      <c r="A45" s="23" t="inlineStr">
        <is>
          <t>Lubricate &amp; Bleed</t>
        </is>
      </c>
      <c r="B45" s="24" t="n"/>
      <c r="C45" s="24" t="n"/>
      <c r="D45" s="24" t="n"/>
      <c r="E45" s="24" t="n"/>
      <c r="F45" s="24" t="n"/>
    </row>
    <row r="47">
      <c r="A47" s="25" t="inlineStr">
        <is>
          <t>Lube &amp; Bleed Cycles</t>
        </is>
      </c>
      <c r="B47" s="26" t="n"/>
      <c r="C47" s="26" t="n"/>
      <c r="D47" s="26" t="n"/>
      <c r="E47" s="26" t="n"/>
      <c r="F47" s="49" t="inlineStr">
        <is>
          <t>V_lube = capacity x lube length;  dP/cycle = 0.052 x KWM x lube length;  cycles = ROUNDUP(target / dP_cycle)</t>
        </is>
      </c>
    </row>
    <row r="48">
      <c r="A48" t="inlineStr"/>
      <c r="F48" s="27" t="inlineStr">
        <is>
          <t>Each cycle: pump the lube volume, wait for the fluid to fall through the gas, then bleed gas at constant pressure until fluid reaches the choke. Gas bled per cycle at surface equals the lube volume at wellhead conditions.</t>
        </is>
      </c>
    </row>
    <row r="49">
      <c r="A49" s="28" t="inlineStr">
        <is>
          <t>Lube column length per cycle</t>
        </is>
      </c>
      <c r="B49" s="31" t="n">
        <v>500</v>
      </c>
      <c r="C49" s="30" t="inlineStr">
        <is>
          <t>ft</t>
        </is>
      </c>
      <c r="D49" s="32">
        <f>IFERROR($B$49*0.3048,NA())</f>
        <v/>
      </c>
      <c r="E49" s="30" t="inlineStr">
        <is>
          <t>m</t>
        </is>
      </c>
      <c r="F49" s="27" t="inlineStr">
        <is>
          <t>Limited by available tubing volume above the gas and by allowable pressure rise.</t>
        </is>
      </c>
    </row>
    <row r="50">
      <c r="A50" s="28" t="inlineStr">
        <is>
          <t>Lube volume per cycle</t>
        </is>
      </c>
      <c r="B50" s="51">
        <f>$B$31*$B$49</f>
        <v/>
      </c>
      <c r="C50" s="30" t="inlineStr">
        <is>
          <t>bbl</t>
        </is>
      </c>
      <c r="D50" s="42">
        <f>IFERROR($B$50*0.1589873,NA())</f>
        <v/>
      </c>
      <c r="E50" s="30" t="inlineStr">
        <is>
          <t>m3</t>
        </is>
      </c>
    </row>
    <row r="51">
      <c r="A51" s="28" t="inlineStr">
        <is>
          <t>Hydrostatic gain per cycle</t>
        </is>
      </c>
      <c r="B51" s="59">
        <f>0.052*$B$13*$B$49</f>
        <v/>
      </c>
      <c r="C51" s="30" t="inlineStr">
        <is>
          <t>psi</t>
        </is>
      </c>
      <c r="D51" s="32">
        <f>IFERROR($B$51*6.894757,NA())</f>
        <v/>
      </c>
      <c r="E51" s="30" t="inlineStr">
        <is>
          <t>kPa</t>
        </is>
      </c>
    </row>
    <row r="52">
      <c r="A52" s="28" t="inlineStr">
        <is>
          <t>Surface pressure to remove (target)</t>
        </is>
      </c>
      <c r="B52" s="31" t="n">
        <v>1500</v>
      </c>
      <c r="C52" s="30" t="inlineStr">
        <is>
          <t>psi</t>
        </is>
      </c>
      <c r="D52" s="32">
        <f>IFERROR($B$52*6.894757,NA())</f>
        <v/>
      </c>
      <c r="E52" s="30" t="inlineStr">
        <is>
          <t>kPa</t>
        </is>
      </c>
    </row>
    <row r="53">
      <c r="A53" s="28" t="inlineStr">
        <is>
          <t>Cycles required</t>
        </is>
      </c>
      <c r="B53" s="59">
        <f>ROUNDUP(ROUND($B$52/$B$51,6),0)</f>
        <v/>
      </c>
      <c r="C53" s="30" t="inlineStr"/>
      <c r="F53" s="27" t="inlineStr">
        <is>
          <t>Plus waiting time for fluid fall-through each cycle - plan several hours per cycle.</t>
        </is>
      </c>
    </row>
    <row r="55" ht="20" customHeight="1">
      <c r="A55" s="23" t="inlineStr">
        <is>
          <t>Circulation Kills</t>
        </is>
      </c>
      <c r="B55" s="24" t="n"/>
      <c r="C55" s="24" t="n"/>
      <c r="D55" s="24" t="n"/>
      <c r="E55" s="24" t="n"/>
      <c r="F55" s="24" t="n"/>
    </row>
    <row r="57">
      <c r="A57" s="25" t="inlineStr">
        <is>
          <t>Forward vs Reverse Circulation Volumes &amp; Times</t>
        </is>
      </c>
      <c r="B57" s="26" t="n"/>
      <c r="C57" s="26" t="n"/>
      <c r="D57" s="26" t="n"/>
      <c r="E57" s="26" t="n"/>
      <c r="F57" s="49" t="inlineStr">
        <is>
          <t>forward: down tubing, up annulus;  reverse: down annulus, up tubing;  time = V / rate</t>
        </is>
      </c>
    </row>
    <row r="58">
      <c r="A58" t="inlineStr"/>
      <c r="F58" s="27" t="inlineStr">
        <is>
          <t>Forward puts kill fluid at bottom after one tubing volume but takes the full annulus to surface the gas at low friction. Reverse brings tubing contents up fast at higher surface pressure on the annulus - check packer/casing limits before reversing.</t>
        </is>
      </c>
    </row>
    <row r="59">
      <c r="A59" s="28" t="inlineStr">
        <is>
          <t>Casing / liner ID</t>
        </is>
      </c>
      <c r="B59" s="33" t="n">
        <v>6.184</v>
      </c>
      <c r="C59" s="30" t="inlineStr">
        <is>
          <t>in</t>
        </is>
      </c>
      <c r="D59" s="34">
        <f>IFERROR($B$59*25.4,NA())</f>
        <v/>
      </c>
      <c r="E59" s="30" t="inlineStr">
        <is>
          <t>mm</t>
        </is>
      </c>
    </row>
    <row r="60">
      <c r="A60" s="28" t="inlineStr">
        <is>
          <t>Tubing OD</t>
        </is>
      </c>
      <c r="B60" s="33" t="n">
        <v>3.5</v>
      </c>
      <c r="C60" s="30" t="inlineStr">
        <is>
          <t>in</t>
        </is>
      </c>
      <c r="D60" s="34">
        <f>IFERROR($B$60*25.4,NA())</f>
        <v/>
      </c>
      <c r="E60" s="30" t="inlineStr">
        <is>
          <t>mm</t>
        </is>
      </c>
    </row>
    <row r="61">
      <c r="A61" s="28" t="inlineStr">
        <is>
          <t>Annular capacity</t>
        </is>
      </c>
      <c r="B61" s="52">
        <f>($B$59^2-$B$60^2)/1029.4</f>
        <v/>
      </c>
      <c r="C61" s="30" t="inlineStr">
        <is>
          <t>bbl/ft</t>
        </is>
      </c>
      <c r="D61" s="53">
        <f>IFERROR($B$61*0.5216119,NA())</f>
        <v/>
      </c>
      <c r="E61" s="30" t="inlineStr">
        <is>
          <t>m3/m</t>
        </is>
      </c>
    </row>
    <row r="62">
      <c r="A62" s="28" t="inlineStr">
        <is>
          <t>Annulus volume</t>
        </is>
      </c>
      <c r="B62" s="54">
        <f>$B$61*$B$30</f>
        <v/>
      </c>
      <c r="C62" s="30" t="inlineStr">
        <is>
          <t>bbl</t>
        </is>
      </c>
      <c r="D62" s="40">
        <f>IFERROR($B$62*0.1589873,NA())</f>
        <v/>
      </c>
      <c r="E62" s="30" t="inlineStr">
        <is>
          <t>m3</t>
        </is>
      </c>
    </row>
    <row r="63">
      <c r="A63" s="28" t="inlineStr">
        <is>
          <t>Circulating rate</t>
        </is>
      </c>
      <c r="B63" s="41" t="n">
        <v>2</v>
      </c>
      <c r="C63" s="30" t="inlineStr">
        <is>
          <t>bbl/min</t>
        </is>
      </c>
      <c r="D63" s="42">
        <f>IFERROR($B$63*0.1589873,NA())</f>
        <v/>
      </c>
      <c r="E63" s="30" t="inlineStr">
        <is>
          <t>m3/min</t>
        </is>
      </c>
    </row>
    <row r="64">
      <c r="A64" s="28" t="inlineStr">
        <is>
          <t>Forward: kill fluid at bottom after</t>
        </is>
      </c>
      <c r="B64" s="60">
        <f>$B$32/$B$63</f>
        <v/>
      </c>
      <c r="C64" s="30" t="inlineStr"/>
      <c r="F64" s="27" t="inlineStr">
        <is>
          <t>minutes (one tubing volume)</t>
        </is>
      </c>
    </row>
    <row r="65">
      <c r="A65" s="28" t="inlineStr">
        <is>
          <t>Forward: full circulation</t>
        </is>
      </c>
      <c r="B65" s="60">
        <f>($B$32+$B$62)/$B$63</f>
        <v/>
      </c>
      <c r="C65" s="30" t="inlineStr"/>
      <c r="F65" s="27" t="inlineStr">
        <is>
          <t>minutes (tubing + annulus)</t>
        </is>
      </c>
    </row>
    <row r="66">
      <c r="A66" s="28" t="inlineStr">
        <is>
          <t>Reverse: kill fluid at bottom after</t>
        </is>
      </c>
      <c r="B66" s="60">
        <f>$B$62/$B$63</f>
        <v/>
      </c>
      <c r="C66" s="30" t="inlineStr"/>
      <c r="F66" s="27" t="inlineStr">
        <is>
          <t>minutes (one annulus volume)</t>
        </is>
      </c>
    </row>
    <row r="67">
      <c r="A67" s="28" t="inlineStr">
        <is>
          <t>Reverse: tubing contents bottoms-up</t>
        </is>
      </c>
      <c r="B67" s="60">
        <f>$B$32/$B$63</f>
        <v/>
      </c>
      <c r="C67" s="30" t="inlineStr"/>
      <c r="F67" s="27" t="inlineStr">
        <is>
          <t>minutes (one tubing volume)</t>
        </is>
      </c>
    </row>
    <row r="69" ht="20" customHeight="1">
      <c r="A69" s="23" t="inlineStr">
        <is>
          <t>Volumetric Control</t>
        </is>
      </c>
      <c r="B69" s="24" t="n"/>
      <c r="C69" s="24" t="n"/>
      <c r="D69" s="24" t="n"/>
      <c r="E69" s="24" t="n"/>
      <c r="F69" s="24" t="n"/>
    </row>
    <row r="71">
      <c r="A71" s="25" t="inlineStr">
        <is>
          <t>Volumetric Method During Gas Migration</t>
        </is>
      </c>
      <c r="B71" s="26" t="n"/>
      <c r="C71" s="26" t="n"/>
      <c r="D71" s="26" t="n"/>
      <c r="E71" s="26" t="n"/>
      <c r="F71" s="49" t="inlineStr">
        <is>
          <t>dP per bbl bled = 0.052 x MW / ann capacity;  bleed V = working range / (dP per bbl)</t>
        </is>
      </c>
    </row>
    <row r="72">
      <c r="A72" t="inlineStr"/>
      <c r="F72" s="27" t="inlineStr">
        <is>
          <t>Static well with migrating gas and no pipe to bottom of the gas: let pressure build by the safety margin + working range, then bleed the computed volume of FLUID (never gas) holding casing pressure constant. Repeat; hydrostatic lost per bleed equals pressure gained by migration. Same principle as drilling volumetric, tubing/annulus geometry.</t>
        </is>
      </c>
    </row>
    <row r="73">
      <c r="A73" s="28" t="inlineStr">
        <is>
          <t>Fluid density in annulus/tubing</t>
        </is>
      </c>
      <c r="B73" s="35" t="n">
        <v>8.6</v>
      </c>
      <c r="C73" s="30" t="inlineStr">
        <is>
          <t>ppg</t>
        </is>
      </c>
      <c r="D73" s="36">
        <f>IFERROR($B$73*119.8264,NA())</f>
        <v/>
      </c>
      <c r="E73" s="30" t="inlineStr">
        <is>
          <t>kg/m3</t>
        </is>
      </c>
    </row>
    <row r="74">
      <c r="A74" s="28" t="inlineStr">
        <is>
          <t>Pressure per bbl bled</t>
        </is>
      </c>
      <c r="B74" s="54">
        <f>0.052*$B$73/$B$61</f>
        <v/>
      </c>
      <c r="C74" s="30" t="inlineStr">
        <is>
          <t>psi/bbl</t>
        </is>
      </c>
      <c r="D74" s="40">
        <f>IFERROR($B$74*43.36638,NA())</f>
        <v/>
      </c>
      <c r="E74" s="30" t="inlineStr">
        <is>
          <t>kPa/m3</t>
        </is>
      </c>
    </row>
    <row r="75">
      <c r="A75" s="28" t="inlineStr">
        <is>
          <t>Safety margin</t>
        </is>
      </c>
      <c r="B75" s="31" t="n">
        <v>100</v>
      </c>
      <c r="C75" s="30" t="inlineStr">
        <is>
          <t>psi</t>
        </is>
      </c>
      <c r="D75" s="32">
        <f>IFERROR($B$75*6.894757,NA())</f>
        <v/>
      </c>
      <c r="E75" s="30" t="inlineStr">
        <is>
          <t>kPa</t>
        </is>
      </c>
    </row>
    <row r="76">
      <c r="A76" s="28" t="inlineStr">
        <is>
          <t>Working pressure range</t>
        </is>
      </c>
      <c r="B76" s="31" t="n">
        <v>50</v>
      </c>
      <c r="C76" s="30" t="inlineStr">
        <is>
          <t>psi</t>
        </is>
      </c>
      <c r="D76" s="32">
        <f>IFERROR($B$76*6.894757,NA())</f>
        <v/>
      </c>
      <c r="E76" s="30" t="inlineStr">
        <is>
          <t>kPa</t>
        </is>
      </c>
    </row>
    <row r="77">
      <c r="A77" s="28" t="inlineStr">
        <is>
          <t>Allow pressure to rise by (first step)</t>
        </is>
      </c>
      <c r="B77" s="59">
        <f>$B$75+$B$76</f>
        <v/>
      </c>
      <c r="C77" s="30" t="inlineStr">
        <is>
          <t>psi</t>
        </is>
      </c>
      <c r="D77" s="32">
        <f>IFERROR($B$77*6.894757,NA())</f>
        <v/>
      </c>
      <c r="E77" s="30" t="inlineStr">
        <is>
          <t>kPa</t>
        </is>
      </c>
    </row>
    <row r="78">
      <c r="A78" s="28" t="inlineStr">
        <is>
          <t>Fluid to bleed per cycle</t>
        </is>
      </c>
      <c r="B78" s="51">
        <f>$B$76/$B$74</f>
        <v/>
      </c>
      <c r="C78" s="30" t="inlineStr">
        <is>
          <t>bbl</t>
        </is>
      </c>
      <c r="D78" s="42">
        <f>IFERROR($B$78*0.1589873,NA())</f>
        <v/>
      </c>
      <c r="E78" s="30" t="inlineStr">
        <is>
          <t>m3</t>
        </is>
      </c>
      <c r="F78" s="27" t="inlineStr">
        <is>
          <t>Bleed at constant surface pressure; then wait for the next pressure build of one working range.</t>
        </is>
      </c>
    </row>
  </sheetData>
  <sheetProtection selectLockedCells="0" selectUnlockedCells="0" sheet="1" objects="0" insertRows="1" insertHyperlinks="1" autoFilter="1" scenarios="0" formatColumns="0" deleteColumns="1" insertColumns="1" pivotTables="1" deleteRows="1" formatCells="1" formatRows="0" sort="1"/>
  <mergeCells count="7">
    <mergeCell ref="A2:F2"/>
    <mergeCell ref="A69:F69"/>
    <mergeCell ref="A45:F45"/>
    <mergeCell ref="A1:F1"/>
    <mergeCell ref="A6:F6"/>
    <mergeCell ref="A55:F55"/>
    <mergeCell ref="A15:F15"/>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44.xml><?xml version="1.0" encoding="utf-8"?>
<worksheet xmlns="http://schemas.openxmlformats.org/spreadsheetml/2006/main">
  <sheetPr>
    <tabColor rgb="00C55A11"/>
    <outlinePr summaryBelow="1" summaryRight="1"/>
    <pageSetUpPr/>
  </sheetPr>
  <dimension ref="A1:F71"/>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s>
  <sheetData>
    <row r="1" ht="26" customHeight="1">
      <c r="A1" s="19" t="inlineStr">
        <is>
          <t>Fishing &amp; Stuck Pipe</t>
        </is>
      </c>
      <c r="B1" s="2" t="n"/>
      <c r="C1" s="2" t="n"/>
      <c r="D1" s="2" t="n"/>
      <c r="E1" s="2" t="n"/>
      <c r="F1" s="2" t="n"/>
    </row>
    <row r="2">
      <c r="A2" s="20" t="inlineStr">
        <is>
          <t>Free point from stretch, overpull margin, spotting fluid placement, differential sticking</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row>
    <row r="6" ht="20" customHeight="1">
      <c r="A6" s="23" t="inlineStr">
        <is>
          <t>Free Point</t>
        </is>
      </c>
      <c r="B6" s="24" t="n"/>
      <c r="C6" s="24" t="n"/>
      <c r="D6" s="24" t="n"/>
      <c r="E6" s="24" t="n"/>
      <c r="F6" s="24" t="n"/>
    </row>
    <row r="8">
      <c r="A8" s="25" t="inlineStr">
        <is>
          <t>Free Point from Stretch</t>
        </is>
      </c>
      <c r="B8" s="26" t="n"/>
      <c r="C8" s="26" t="n"/>
      <c r="D8" s="26" t="n"/>
      <c r="E8" s="26" t="n"/>
      <c r="F8" s="49" t="inlineStr">
        <is>
          <t>L_free [ft] = 735294 x e [in] x w_dp [lb/ft] / P_diff [lbf]</t>
        </is>
      </c>
    </row>
    <row r="9">
      <c r="A9" t="inlineStr"/>
      <c r="F9" s="27" t="inlineStr">
        <is>
          <t>Classic field formula. Origin: L = e x E x A / P with E = 30e6 psi and steel area A ~ w/3.4 in2 per lb/ft, so L [ft] = e x 30e6 x w / (3.4 x 12 x P) = 735294 x e x w / P. Approximate (~5-10%): uses nominal weight incl. tool joints and average E for steel.</t>
        </is>
      </c>
    </row>
    <row r="10">
      <c r="A10" s="28" t="inlineStr">
        <is>
          <t>Differential stretch measured (e)</t>
        </is>
      </c>
      <c r="B10" s="37" t="n">
        <v>20</v>
      </c>
      <c r="C10" s="30" t="inlineStr">
        <is>
          <t>in</t>
        </is>
      </c>
      <c r="D10" s="40">
        <f>IFERROR($B$10*25.4,NA())</f>
        <v/>
      </c>
      <c r="E10" s="30" t="inlineStr">
        <is>
          <t>mm</t>
        </is>
      </c>
    </row>
    <row r="11">
      <c r="A11" s="28" t="inlineStr">
        <is>
          <t>Pipe weight (w_dp)</t>
        </is>
      </c>
      <c r="B11" s="41" t="n">
        <v>19.5</v>
      </c>
      <c r="C11" s="30" t="inlineStr">
        <is>
          <t>lb/ft</t>
        </is>
      </c>
      <c r="D11" s="42">
        <f>IFERROR($B$11*1.488164,NA())</f>
        <v/>
      </c>
      <c r="E11" s="30" t="inlineStr">
        <is>
          <t>kg/m</t>
        </is>
      </c>
      <c r="F11" s="27" t="inlineStr">
        <is>
          <t>Nominal weight of the section above the stuck point; recompute per section for tapered strings.</t>
        </is>
      </c>
    </row>
    <row r="12">
      <c r="A12" s="28" t="inlineStr">
        <is>
          <t>Differential pull (P_diff)</t>
        </is>
      </c>
      <c r="B12" s="31" t="n">
        <v>40000</v>
      </c>
      <c r="C12" s="30" t="inlineStr">
        <is>
          <t>lbf</t>
        </is>
      </c>
      <c r="D12" s="32">
        <f>IFERROR($B$12*0.004448222,NA())</f>
        <v/>
      </c>
      <c r="E12" s="30" t="inlineStr">
        <is>
          <t>kN</t>
        </is>
      </c>
    </row>
    <row r="13">
      <c r="A13" s="28" t="inlineStr">
        <is>
          <t>Free point depth (below rig floor)</t>
        </is>
      </c>
      <c r="B13" s="59">
        <f>735294*$B$10*$B$11/$B$12</f>
        <v/>
      </c>
      <c r="C13" s="30" t="inlineStr">
        <is>
          <t>ft</t>
        </is>
      </c>
      <c r="D13" s="32">
        <f>IFERROR($B$13*0.3048,NA())</f>
        <v/>
      </c>
      <c r="E13" s="30" t="inlineStr">
        <is>
          <t>m</t>
        </is>
      </c>
    </row>
    <row r="14">
      <c r="A14" s="27" t="inlineStr">
        <is>
          <t>Differential pull procedure</t>
        </is>
      </c>
      <c r="F14" s="27" t="inlineStr">
        <is>
          <t>Pull to P1 (above hanging weight, below limits) and mark the pipe; pull to P2 and mark again. Use e = stretch difference between marks and P_diff = P2 - P1. This cancels drag and initial slack. Confirm with a free-point indicator tool before backing off.</t>
        </is>
      </c>
    </row>
    <row r="16" ht="20" customHeight="1">
      <c r="A16" s="23" t="inlineStr">
        <is>
          <t>Pulling</t>
        </is>
      </c>
      <c r="B16" s="24" t="n"/>
      <c r="C16" s="24" t="n"/>
      <c r="D16" s="24" t="n"/>
      <c r="E16" s="24" t="n"/>
      <c r="F16" s="24" t="n"/>
    </row>
    <row r="18">
      <c r="A18" s="25" t="inlineStr">
        <is>
          <t>Overpull Margin</t>
        </is>
      </c>
      <c r="B18" s="26" t="n"/>
      <c r="C18" s="26" t="n"/>
      <c r="D18" s="26" t="n"/>
      <c r="E18" s="26" t="n"/>
      <c r="F18" s="49" t="inlineStr">
        <is>
          <t>Max pull = MIN(0.9 x F_yield, weak link);  margin = max pull - hanging weight</t>
        </is>
      </c>
    </row>
    <row r="19">
      <c r="A19" t="inlineStr"/>
      <c r="F19" s="27" t="inlineStr">
        <is>
          <t>90% of pipe tensile yield is a common working limit - also check top drive / hook, elevators, and the weakest connection in the string.</t>
        </is>
      </c>
    </row>
    <row r="20">
      <c r="A20" s="28" t="inlineStr">
        <is>
          <t>Pipe tensile yield strength</t>
        </is>
      </c>
      <c r="B20" s="31" t="n">
        <v>395</v>
      </c>
      <c r="C20" s="30" t="inlineStr">
        <is>
          <t>klbf</t>
        </is>
      </c>
      <c r="D20" s="32">
        <f>IFERROR($B$20*4.448222,NA())</f>
        <v/>
      </c>
      <c r="E20" s="30" t="inlineStr">
        <is>
          <t>kN</t>
        </is>
      </c>
    </row>
    <row r="21">
      <c r="A21" s="28" t="inlineStr">
        <is>
          <t>Weakest connection / weak link rating</t>
        </is>
      </c>
      <c r="B21" s="31" t="n">
        <v>350</v>
      </c>
      <c r="C21" s="30" t="inlineStr">
        <is>
          <t>klbf</t>
        </is>
      </c>
      <c r="D21" s="32">
        <f>IFERROR($B$21*4.448222,NA())</f>
        <v/>
      </c>
      <c r="E21" s="30" t="inlineStr">
        <is>
          <t>kN</t>
        </is>
      </c>
    </row>
    <row r="22">
      <c r="A22" s="28" t="inlineStr">
        <is>
          <t>Buoyed hanging weight before stuck</t>
        </is>
      </c>
      <c r="B22" s="31" t="n">
        <v>180</v>
      </c>
      <c r="C22" s="30" t="inlineStr">
        <is>
          <t>klbf</t>
        </is>
      </c>
      <c r="D22" s="32">
        <f>IFERROR($B$22*4.448222,NA())</f>
        <v/>
      </c>
      <c r="E22" s="30" t="inlineStr">
        <is>
          <t>kN</t>
        </is>
      </c>
    </row>
    <row r="23">
      <c r="A23" s="28" t="inlineStr">
        <is>
          <t>Maximum pull at surface</t>
        </is>
      </c>
      <c r="B23" s="59">
        <f>MIN(0.9*$B$20,$B$21)</f>
        <v/>
      </c>
      <c r="C23" s="30" t="inlineStr">
        <is>
          <t>klbf</t>
        </is>
      </c>
      <c r="D23" s="32">
        <f>IFERROR($B$23*4.448222,NA())</f>
        <v/>
      </c>
      <c r="E23" s="30" t="inlineStr">
        <is>
          <t>kN</t>
        </is>
      </c>
    </row>
    <row r="24">
      <c r="A24" s="28" t="inlineStr">
        <is>
          <t>Available overpull margin</t>
        </is>
      </c>
      <c r="B24" s="59">
        <f>$B$23-$B$22</f>
        <v/>
      </c>
      <c r="C24" s="30" t="inlineStr">
        <is>
          <t>klbf</t>
        </is>
      </c>
      <c r="D24" s="32">
        <f>IFERROR($B$24*4.448222,NA())</f>
        <v/>
      </c>
      <c r="E24" s="30" t="inlineStr">
        <is>
          <t>kN</t>
        </is>
      </c>
    </row>
    <row r="25">
      <c r="A25" s="28" t="inlineStr">
        <is>
          <t>Margin check</t>
        </is>
      </c>
      <c r="B25" s="72">
        <f>IF($B$24&gt;0,"OK - overpull available","NO MARGIN - do not pull, work string")</f>
        <v/>
      </c>
      <c r="C25" s="30" t="inlineStr"/>
    </row>
    <row r="27" ht="20" customHeight="1">
      <c r="A27" s="23" t="inlineStr">
        <is>
          <t>Spotting Fluid</t>
        </is>
      </c>
      <c r="B27" s="24" t="n"/>
      <c r="C27" s="24" t="n"/>
      <c r="D27" s="24" t="n"/>
      <c r="E27" s="24" t="n"/>
      <c r="F27" s="24" t="n"/>
    </row>
    <row r="29">
      <c r="A29" s="25" t="inlineStr">
        <is>
          <t>Spot Fluid Volume &amp; Chase (Displacement) Volume</t>
        </is>
      </c>
      <c r="B29" s="26" t="n"/>
      <c r="C29" s="26" t="n"/>
      <c r="D29" s="26" t="n"/>
      <c r="E29" s="26" t="n"/>
      <c r="F29" s="49" t="inlineStr">
        <is>
          <t>V_ann = (Dh^2 - OD^2)/1029.4 x L_stuck;  V_pill = V_ann x (1 + excess);  V_chase = string volume - pill left inside string</t>
        </is>
      </c>
    </row>
    <row r="30">
      <c r="A30" t="inlineStr"/>
      <c r="F30" s="27" t="inlineStr">
        <is>
          <t>Pill left inside the string = V_pill - annulus interval volume, so after displacement the pill covers the stuck interval with the excess still inside the pipe for periodic top-ups while soaking.</t>
        </is>
      </c>
    </row>
    <row r="31">
      <c r="A31" s="28" t="inlineStr">
        <is>
          <t>Hole / casing ID (Dh)</t>
        </is>
      </c>
      <c r="B31" s="33" t="n">
        <v>8.5</v>
      </c>
      <c r="C31" s="30" t="inlineStr">
        <is>
          <t>in</t>
        </is>
      </c>
      <c r="D31" s="34">
        <f>IFERROR($B$31*25.4,NA())</f>
        <v/>
      </c>
      <c r="E31" s="30" t="inlineStr">
        <is>
          <t>mm</t>
        </is>
      </c>
    </row>
    <row r="32">
      <c r="A32" s="28" t="inlineStr">
        <is>
          <t>Pipe OD</t>
        </is>
      </c>
      <c r="B32" s="33" t="n">
        <v>4.5</v>
      </c>
      <c r="C32" s="30" t="inlineStr">
        <is>
          <t>in</t>
        </is>
      </c>
      <c r="D32" s="34">
        <f>IFERROR($B$32*25.4,NA())</f>
        <v/>
      </c>
      <c r="E32" s="30" t="inlineStr">
        <is>
          <t>mm</t>
        </is>
      </c>
    </row>
    <row r="33">
      <c r="A33" s="28" t="inlineStr">
        <is>
          <t>Pipe ID</t>
        </is>
      </c>
      <c r="B33" s="33" t="n">
        <v>3.826</v>
      </c>
      <c r="C33" s="30" t="inlineStr">
        <is>
          <t>in</t>
        </is>
      </c>
      <c r="D33" s="34">
        <f>IFERROR($B$33*25.4,NA())</f>
        <v/>
      </c>
      <c r="E33" s="30" t="inlineStr">
        <is>
          <t>mm</t>
        </is>
      </c>
    </row>
    <row r="34">
      <c r="A34" s="28" t="inlineStr">
        <is>
          <t>Bit / end of string depth (MD)</t>
        </is>
      </c>
      <c r="B34" s="31" t="n">
        <v>9800</v>
      </c>
      <c r="C34" s="30" t="inlineStr">
        <is>
          <t>ft</t>
        </is>
      </c>
      <c r="D34" s="32">
        <f>IFERROR($B$34*0.3048,NA())</f>
        <v/>
      </c>
      <c r="E34" s="30" t="inlineStr">
        <is>
          <t>m</t>
        </is>
      </c>
    </row>
    <row r="35">
      <c r="A35" s="28" t="inlineStr">
        <is>
          <t>Stuck interval length (above bit)</t>
        </is>
      </c>
      <c r="B35" s="31" t="n">
        <v>300</v>
      </c>
      <c r="C35" s="30" t="inlineStr">
        <is>
          <t>ft</t>
        </is>
      </c>
      <c r="D35" s="32">
        <f>IFERROR($B$35*0.3048,NA())</f>
        <v/>
      </c>
      <c r="E35" s="30" t="inlineStr">
        <is>
          <t>m</t>
        </is>
      </c>
    </row>
    <row r="36">
      <c r="A36" s="28" t="inlineStr">
        <is>
          <t>Excess</t>
        </is>
      </c>
      <c r="B36" s="31" t="n">
        <v>25</v>
      </c>
      <c r="C36" s="30" t="inlineStr"/>
      <c r="F36" s="27" t="inlineStr">
        <is>
          <t>% extra pill volume; 25-50% typical</t>
        </is>
      </c>
    </row>
    <row r="37">
      <c r="A37" s="28" t="inlineStr">
        <is>
          <t>Annular capacity</t>
        </is>
      </c>
      <c r="B37" s="52">
        <f>($B$31^2-$B$32^2)/1029.4</f>
        <v/>
      </c>
      <c r="C37" s="30" t="inlineStr">
        <is>
          <t>bbl/ft</t>
        </is>
      </c>
      <c r="D37" s="53">
        <f>IFERROR($B$37*0.5216119,NA())</f>
        <v/>
      </c>
      <c r="E37" s="30" t="inlineStr">
        <is>
          <t>m3/m</t>
        </is>
      </c>
    </row>
    <row r="38">
      <c r="A38" s="28" t="inlineStr">
        <is>
          <t>Annulus volume over stuck interval</t>
        </is>
      </c>
      <c r="B38" s="54">
        <f>$B$37*$B$35</f>
        <v/>
      </c>
      <c r="C38" s="30" t="inlineStr">
        <is>
          <t>bbl</t>
        </is>
      </c>
      <c r="D38" s="40">
        <f>IFERROR($B$38*0.1589873,NA())</f>
        <v/>
      </c>
      <c r="E38" s="30" t="inlineStr">
        <is>
          <t>m3</t>
        </is>
      </c>
    </row>
    <row r="39">
      <c r="A39" s="28" t="inlineStr">
        <is>
          <t>Total pill volume to mix</t>
        </is>
      </c>
      <c r="B39" s="54">
        <f>$B$38*(1+$B$36/100)</f>
        <v/>
      </c>
      <c r="C39" s="30" t="inlineStr">
        <is>
          <t>bbl</t>
        </is>
      </c>
      <c r="D39" s="40">
        <f>IFERROR($B$39*0.1589873,NA())</f>
        <v/>
      </c>
      <c r="E39" s="30" t="inlineStr">
        <is>
          <t>m3</t>
        </is>
      </c>
    </row>
    <row r="40">
      <c r="A40" s="28" t="inlineStr">
        <is>
          <t>String internal capacity</t>
        </is>
      </c>
      <c r="B40" s="52">
        <f>$B$33^2/1029.4</f>
        <v/>
      </c>
      <c r="C40" s="30" t="inlineStr">
        <is>
          <t>bbl/ft</t>
        </is>
      </c>
      <c r="D40" s="53">
        <f>IFERROR($B$40*0.5216119,NA())</f>
        <v/>
      </c>
      <c r="E40" s="30" t="inlineStr">
        <is>
          <t>m3/m</t>
        </is>
      </c>
    </row>
    <row r="41">
      <c r="A41" s="28" t="inlineStr">
        <is>
          <t>String internal volume</t>
        </is>
      </c>
      <c r="B41" s="54">
        <f>$B$40*$B$34</f>
        <v/>
      </c>
      <c r="C41" s="30" t="inlineStr">
        <is>
          <t>bbl</t>
        </is>
      </c>
      <c r="D41" s="40">
        <f>IFERROR($B$41*0.1589873,NA())</f>
        <v/>
      </c>
      <c r="E41" s="30" t="inlineStr">
        <is>
          <t>m3</t>
        </is>
      </c>
    </row>
    <row r="42">
      <c r="A42" s="28" t="inlineStr">
        <is>
          <t>Chase volume to spot pill on depth</t>
        </is>
      </c>
      <c r="B42" s="54">
        <f>$B$41-($B$39-$B$38)</f>
        <v/>
      </c>
      <c r="C42" s="30" t="inlineStr">
        <is>
          <t>bbl</t>
        </is>
      </c>
      <c r="D42" s="40">
        <f>IFERROR($B$42*0.1589873,NA())</f>
        <v/>
      </c>
      <c r="E42" s="30" t="inlineStr">
        <is>
          <t>m3</t>
        </is>
      </c>
      <c r="F42" s="27" t="inlineStr">
        <is>
          <t>Pump pill, then this chase; under-displace slightly and top up ~1 bbl every 30-60 min.</t>
        </is>
      </c>
    </row>
    <row r="44" ht="20" customHeight="1">
      <c r="A44" s="23" t="inlineStr">
        <is>
          <t>Stuck Pipe Mechanics</t>
        </is>
      </c>
      <c r="B44" s="24" t="n"/>
      <c r="C44" s="24" t="n"/>
      <c r="D44" s="24" t="n"/>
      <c r="E44" s="24" t="n"/>
      <c r="F44" s="24" t="n"/>
    </row>
    <row r="46">
      <c r="A46" s="25" t="inlineStr">
        <is>
          <t>Differential Sticking Force</t>
        </is>
      </c>
      <c r="B46" s="26" t="n"/>
      <c r="C46" s="26" t="n"/>
      <c r="D46" s="26" t="n"/>
      <c r="E46" s="26" t="n"/>
      <c r="F46" s="49" t="inlineStr">
        <is>
          <t>F = dP x contact area x f;  area [in2] = L_contact x 12 x w_contact</t>
        </is>
      </c>
    </row>
    <row r="47">
      <c r="A47" t="inlineStr"/>
      <c r="F47" s="27" t="inlineStr">
        <is>
          <t>Order-of-magnitude estimate - contact width and friction factor are highly uncertain. Shows why even modest overbalance over a long permeable interval can exceed any available overpull.</t>
        </is>
      </c>
    </row>
    <row r="48">
      <c r="A48" s="28" t="inlineStr">
        <is>
          <t>Overbalance across cake (dP)</t>
        </is>
      </c>
      <c r="B48" s="31" t="n">
        <v>500</v>
      </c>
      <c r="C48" s="30" t="inlineStr">
        <is>
          <t>psi</t>
        </is>
      </c>
      <c r="D48" s="32">
        <f>IFERROR($B$48*6.894757,NA())</f>
        <v/>
      </c>
      <c r="E48" s="30" t="inlineStr">
        <is>
          <t>kPa</t>
        </is>
      </c>
    </row>
    <row r="49">
      <c r="A49" s="28" t="inlineStr">
        <is>
          <t>Contact (stuck) length</t>
        </is>
      </c>
      <c r="B49" s="31" t="n">
        <v>300</v>
      </c>
      <c r="C49" s="30" t="inlineStr">
        <is>
          <t>ft</t>
        </is>
      </c>
      <c r="D49" s="32">
        <f>IFERROR($B$49*0.3048,NA())</f>
        <v/>
      </c>
      <c r="E49" s="30" t="inlineStr">
        <is>
          <t>m</t>
        </is>
      </c>
    </row>
    <row r="50">
      <c r="A50" s="28" t="inlineStr">
        <is>
          <t>Effective contact width</t>
        </is>
      </c>
      <c r="B50" s="41" t="n">
        <v>2</v>
      </c>
      <c r="C50" s="30" t="inlineStr">
        <is>
          <t>in</t>
        </is>
      </c>
      <c r="D50" s="42">
        <f>IFERROR($B$50*25.4,NA())</f>
        <v/>
      </c>
      <c r="E50" s="30" t="inlineStr">
        <is>
          <t>mm</t>
        </is>
      </c>
      <c r="F50" s="27" t="inlineStr">
        <is>
          <t>Rule of thumb 1-4 in, depending on cake thickness and pipe OD.</t>
        </is>
      </c>
    </row>
    <row r="51">
      <c r="A51" s="28" t="inlineStr">
        <is>
          <t>Friction coefficient (f)</t>
        </is>
      </c>
      <c r="B51" s="41" t="n">
        <v>0.2</v>
      </c>
      <c r="C51" s="30" t="inlineStr"/>
      <c r="F51" s="27" t="inlineStr">
        <is>
          <t>0.1-0.3 typical; increases with time as the cake dehydrates - act fast.</t>
        </is>
      </c>
    </row>
    <row r="52">
      <c r="A52" s="28" t="inlineStr">
        <is>
          <t>Contact area</t>
        </is>
      </c>
      <c r="B52" s="59">
        <f>$B$49*12*$B$50</f>
        <v/>
      </c>
      <c r="C52" s="30" t="inlineStr">
        <is>
          <t>in2</t>
        </is>
      </c>
      <c r="D52" s="32">
        <f>IFERROR($B$52*6.4516,NA())</f>
        <v/>
      </c>
      <c r="E52" s="30" t="inlineStr">
        <is>
          <t>cm2</t>
        </is>
      </c>
    </row>
    <row r="53">
      <c r="A53" s="28" t="inlineStr">
        <is>
          <t>Sticking force (approximate)</t>
        </is>
      </c>
      <c r="B53" s="59">
        <f>$B$48*$B$52*$B$51</f>
        <v/>
      </c>
      <c r="C53" s="30" t="inlineStr">
        <is>
          <t>lbf</t>
        </is>
      </c>
      <c r="D53" s="32">
        <f>IFERROR($B$53*0.004448222,NA())</f>
        <v/>
      </c>
      <c r="E53" s="30" t="inlineStr">
        <is>
          <t>kN</t>
        </is>
      </c>
    </row>
    <row r="55">
      <c r="A55" s="25" t="inlineStr">
        <is>
          <t>Acid / Solvent Soak Pill Volume</t>
        </is>
      </c>
      <c r="B55" s="26" t="n"/>
      <c r="C55" s="26" t="n"/>
      <c r="D55" s="26" t="n"/>
      <c r="E55" s="26" t="n"/>
      <c r="F55" s="49" t="inlineStr">
        <is>
          <t>V = annular capacity x interval x (1 + excess)</t>
        </is>
      </c>
    </row>
    <row r="56">
      <c r="A56" t="inlineStr"/>
      <c r="F56" s="27" t="inlineStr">
        <is>
          <t>For scale, cement, or fill around the fish; uses the annular capacity above. Verify metallurgy and H2S risk before acid soaks.</t>
        </is>
      </c>
    </row>
    <row r="57">
      <c r="A57" s="28" t="inlineStr">
        <is>
          <t>Interval to soak</t>
        </is>
      </c>
      <c r="B57" s="31" t="n">
        <v>60</v>
      </c>
      <c r="C57" s="30" t="inlineStr">
        <is>
          <t>ft</t>
        </is>
      </c>
      <c r="D57" s="32">
        <f>IFERROR($B$57*0.3048,NA())</f>
        <v/>
      </c>
      <c r="E57" s="30" t="inlineStr">
        <is>
          <t>m</t>
        </is>
      </c>
    </row>
    <row r="58">
      <c r="A58" s="28" t="inlineStr">
        <is>
          <t>Excess</t>
        </is>
      </c>
      <c r="B58" s="31" t="n">
        <v>50</v>
      </c>
      <c r="C58" s="30" t="inlineStr"/>
      <c r="F58" s="27" t="inlineStr">
        <is>
          <t>%</t>
        </is>
      </c>
    </row>
    <row r="59">
      <c r="A59" s="28" t="inlineStr">
        <is>
          <t>Soak pill volume</t>
        </is>
      </c>
      <c r="B59" s="54">
        <f>$B$37*$B$57*(1+$B$58/100)</f>
        <v/>
      </c>
      <c r="C59" s="30" t="inlineStr">
        <is>
          <t>bbl</t>
        </is>
      </c>
      <c r="D59" s="40">
        <f>IFERROR($B$59*0.1589873,NA())</f>
        <v/>
      </c>
      <c r="E59" s="30" t="inlineStr">
        <is>
          <t>m3</t>
        </is>
      </c>
    </row>
    <row r="61" ht="20" customHeight="1">
      <c r="A61" s="23" t="inlineStr">
        <is>
          <t>Milling &amp; Notes</t>
        </is>
      </c>
      <c r="B61" s="24" t="n"/>
      <c r="C61" s="24" t="n"/>
      <c r="D61" s="24" t="n"/>
      <c r="E61" s="24" t="n"/>
      <c r="F61" s="24" t="n"/>
    </row>
    <row r="63">
      <c r="A63" s="25" t="inlineStr">
        <is>
          <t>Milling Time</t>
        </is>
      </c>
      <c r="B63" s="26" t="n"/>
      <c r="C63" s="26" t="n"/>
      <c r="D63" s="26" t="n"/>
      <c r="E63" s="26" t="n"/>
      <c r="F63" s="49" t="inlineStr">
        <is>
          <t>t [hr] = length to mill / milling rate</t>
        </is>
      </c>
    </row>
    <row r="64">
      <c r="A64" s="28" t="inlineStr">
        <is>
          <t>Length to mill</t>
        </is>
      </c>
      <c r="B64" s="37" t="n">
        <v>6</v>
      </c>
      <c r="C64" s="30" t="inlineStr">
        <is>
          <t>ft</t>
        </is>
      </c>
      <c r="D64" s="40">
        <f>IFERROR($B$64*0.3048,NA())</f>
        <v/>
      </c>
      <c r="E64" s="30" t="inlineStr">
        <is>
          <t>m</t>
        </is>
      </c>
    </row>
    <row r="65">
      <c r="A65" s="28" t="inlineStr">
        <is>
          <t>Milling rate</t>
        </is>
      </c>
      <c r="B65" s="41" t="n">
        <v>1.5</v>
      </c>
      <c r="C65" s="30" t="inlineStr">
        <is>
          <t>ft/hr</t>
        </is>
      </c>
      <c r="D65" s="42">
        <f>IFERROR($B$65*0.3048,NA())</f>
        <v/>
      </c>
      <c r="E65" s="30" t="inlineStr">
        <is>
          <t>m/hr</t>
        </is>
      </c>
      <c r="F65" s="27" t="inlineStr">
        <is>
          <t>Typical 0.5-5 ft/hr depending on mill type, fish material, and WOB.</t>
        </is>
      </c>
    </row>
    <row r="66">
      <c r="A66" s="28" t="inlineStr">
        <is>
          <t>Milling time</t>
        </is>
      </c>
      <c r="B66" s="54">
        <f>$B$64/$B$65</f>
        <v/>
      </c>
      <c r="C66" s="30" t="inlineStr"/>
      <c r="F66" s="27" t="inlineStr">
        <is>
          <t>hours, excluding trips and mill changes</t>
        </is>
      </c>
    </row>
    <row r="68">
      <c r="A68" s="25" t="inlineStr">
        <is>
          <t>Field Notes</t>
        </is>
      </c>
      <c r="B68" s="26" t="n"/>
      <c r="C68" s="26" t="n"/>
      <c r="D68" s="26" t="n"/>
      <c r="E68" s="26" t="n"/>
      <c r="F68" s="26" t="n"/>
    </row>
    <row r="69">
      <c r="A69" s="27" t="inlineStr">
        <is>
          <t>Jar placement &amp; intensifier</t>
        </is>
      </c>
      <c r="F69" s="27" t="inlineStr">
        <is>
          <t>Place drilling jars in the transition from tension to compression, never inside the expected stuck zone; run an intensifier (accelerator) above the jars plus 3-5 heavy-weight joints between them so the hammer mass is effective at shallow depths and in deviated wells.</t>
        </is>
      </c>
    </row>
    <row r="70">
      <c r="A70" s="27" t="inlineStr">
        <is>
          <t>Back-off / safety joint torque</t>
        </is>
      </c>
      <c r="F70" s="27" t="inlineStr">
        <is>
          <t>Back off with left-hand torque worked down to the free point with string weight at neutral at the backoff depth; applied torque typically must stay below ~80% of connection make-up torque. Safety joints release with a fraction of make-up torque per the manufacturer data sheet.</t>
        </is>
      </c>
    </row>
    <row r="71">
      <c r="A71" s="27" t="inlineStr">
        <is>
          <t>Pipe recovery ton-miles</t>
        </is>
      </c>
      <c r="F71" s="27" t="inlineStr">
        <is>
          <t>Jarring and repeated overpull cycles accumulate drill-line ton-miles quickly - recalculate slip-and-cut schedule during long fishing jobs.</t>
        </is>
      </c>
    </row>
  </sheetData>
  <sheetProtection selectLockedCells="0" selectUnlockedCells="0" sheet="1" objects="0" insertRows="1" insertHyperlinks="1" autoFilter="1" scenarios="0" formatColumns="0" deleteColumns="1" insertColumns="1" pivotTables="1" deleteRows="1" formatCells="1" formatRows="0" sort="1"/>
  <mergeCells count="7">
    <mergeCell ref="A16:F16"/>
    <mergeCell ref="A2:F2"/>
    <mergeCell ref="A44:F44"/>
    <mergeCell ref="A1:F1"/>
    <mergeCell ref="A27:F27"/>
    <mergeCell ref="A61:F61"/>
    <mergeCell ref="A6:F6"/>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worksheet>
</file>

<file path=xl/worksheets/sheet45.xml><?xml version="1.0" encoding="utf-8"?>
<worksheet xmlns="http://schemas.openxmlformats.org/spreadsheetml/2006/main">
  <sheetPr>
    <tabColor rgb="00C55A11"/>
    <outlinePr summaryBelow="1" summaryRight="1"/>
    <pageSetUpPr fitToPage="1"/>
  </sheetPr>
  <dimension ref="A1:F43"/>
  <sheetViews>
    <sheetView showGridLines="0" workbookViewId="0">
      <pane ySplit="4" topLeftCell="A5" activePane="bottomLeft" state="frozen"/>
      <selection pane="bottomLeft" activeCell="A1" sqref="A1"/>
    </sheetView>
  </sheetViews>
  <sheetFormatPr baseColWidth="8" defaultRowHeight="15"/>
  <cols>
    <col width="7" customWidth="1" min="1" max="1"/>
    <col width="30" customWidth="1" min="2" max="2"/>
    <col width="30" customWidth="1" min="3" max="3"/>
    <col width="30" customWidth="1" min="4" max="4"/>
    <col width="9" customWidth="1" min="5" max="5"/>
    <col width="9" customWidth="1" min="6" max="6"/>
  </cols>
  <sheetData>
    <row r="1" ht="26" customHeight="1">
      <c r="A1" s="19" t="inlineStr">
        <is>
          <t>Intervention Procedure - Template Builder</t>
        </is>
      </c>
      <c r="B1" s="2" t="n"/>
      <c r="C1" s="2" t="n"/>
      <c r="D1" s="2" t="n"/>
      <c r="E1" s="2" t="n"/>
      <c r="F1" s="2" t="n"/>
    </row>
    <row r="2">
      <c r="A2" s="20" t="inlineStr">
        <is>
          <t>Step text pulls live values from Well Data (WD_* names) - edit every step against the approved program before use</t>
        </is>
      </c>
      <c r="B2" s="2" t="n"/>
      <c r="C2" s="2" t="n"/>
      <c r="D2" s="2" t="n"/>
      <c r="E2" s="2" t="n"/>
      <c r="F2" s="2" t="n"/>
    </row>
    <row r="4">
      <c r="A4" s="104" t="inlineStr">
        <is>
          <t>Step</t>
        </is>
      </c>
      <c r="B4" s="66" t="inlineStr">
        <is>
          <t>Description (yellow = editable text)</t>
        </is>
      </c>
      <c r="C4" s="105" t="n"/>
      <c r="D4" s="106" t="n"/>
      <c r="E4" s="104" t="inlineStr">
        <is>
          <t>Est. hrs</t>
        </is>
      </c>
      <c r="F4" s="104" t="inlineStr">
        <is>
          <t>Initials</t>
        </is>
      </c>
    </row>
    <row r="5">
      <c r="A5" s="28" t="inlineStr">
        <is>
          <t>Well</t>
        </is>
      </c>
      <c r="B5" s="107">
        <f>WD_Well</f>
        <v/>
      </c>
      <c r="C5" s="108" t="n"/>
      <c r="D5" s="28" t="inlineStr">
        <is>
          <t>Prepared by</t>
        </is>
      </c>
      <c r="E5" s="109" t="inlineStr"/>
      <c r="F5" s="110" t="n"/>
    </row>
    <row r="6">
      <c r="A6" s="28" t="inlineStr">
        <is>
          <t>Field</t>
        </is>
      </c>
      <c r="B6" s="107">
        <f>WD_Field</f>
        <v/>
      </c>
      <c r="C6" s="108" t="n"/>
      <c r="D6" s="28" t="inlineStr">
        <is>
          <t>Date</t>
        </is>
      </c>
      <c r="E6" s="109" t="inlineStr"/>
      <c r="F6" s="110" t="n"/>
    </row>
    <row r="7">
      <c r="A7" s="28" t="inlineStr">
        <is>
          <t>Rig</t>
        </is>
      </c>
      <c r="B7" s="107">
        <f>WD_Rig</f>
        <v/>
      </c>
      <c r="C7" s="108" t="n"/>
      <c r="D7" s="28" t="inlineStr">
        <is>
          <t>Revision</t>
        </is>
      </c>
      <c r="E7" s="109" t="inlineStr"/>
      <c r="F7" s="110" t="n"/>
    </row>
    <row r="8">
      <c r="A8" s="111" t="inlineStr">
        <is>
          <t>Template procedure - review and edit every step against the program, permits and MOC before use.</t>
        </is>
      </c>
    </row>
    <row r="10" ht="20" customHeight="1">
      <c r="A10" s="23" t="inlineStr">
        <is>
          <t>A. Planning &amp; Barriers</t>
        </is>
      </c>
      <c r="B10" s="24" t="n"/>
      <c r="C10" s="24" t="n"/>
      <c r="D10" s="24" t="n"/>
      <c r="E10" s="24" t="n"/>
      <c r="F10" s="24" t="n"/>
    </row>
    <row r="11" ht="30" customHeight="1">
      <c r="A11" s="112" t="n">
        <v>1</v>
      </c>
      <c r="B11" s="113" t="inlineStr">
        <is>
          <t>Hold pre-job meeting; confirm intervention program, permits, MOC register, SIMOPS plan and emergency response arrangements.</t>
        </is>
      </c>
      <c r="C11" s="110" t="n"/>
      <c r="D11" s="110" t="n"/>
      <c r="E11" s="37" t="n">
        <v>2</v>
      </c>
      <c r="F11" s="114" t="n"/>
    </row>
    <row r="12" ht="30" customHeight="1">
      <c r="A12" s="112" t="n">
        <v>2</v>
      </c>
      <c r="B12" s="113" t="inlineStr">
        <is>
          <t>Confirm the two-barrier policy is satisfied for every planned operational step; document barriers on the barrier diagram and have it endorsed before rig-up.</t>
        </is>
      </c>
      <c r="C12" s="110" t="n"/>
      <c r="D12" s="110" t="n"/>
      <c r="E12" s="37" t="n">
        <v>2</v>
      </c>
      <c r="F12" s="114" t="n"/>
    </row>
    <row r="13" ht="30" customHeight="1">
      <c r="A13" s="112" t="n">
        <v>3</v>
      </c>
      <c r="B13" s="113" t="inlineStr">
        <is>
          <t>Function test SCSSV / TRSV; record closing time and leak rate against acceptance criteria before starting work.</t>
        </is>
      </c>
      <c r="C13" s="110" t="n"/>
      <c r="D13" s="110" t="n"/>
      <c r="E13" s="37" t="n">
        <v>2</v>
      </c>
      <c r="F13" s="114" t="n"/>
    </row>
    <row r="14" ht="30" customHeight="1">
      <c r="A14" s="112" t="n">
        <v>4</v>
      </c>
      <c r="B14" s="113">
        <f>"Record wellhead pressures (tubing and all annuli) and compare to expected - reservoir pressure "&amp;TEXT(WD_ResP,"#,##0")&amp;" psi at "&amp;TEXT(WD_PerfTVD,"#,##0")&amp;" ft TVD."</f>
        <v/>
      </c>
      <c r="C14" s="110" t="n"/>
      <c r="D14" s="110" t="n"/>
      <c r="E14" s="37" t="n">
        <v>1</v>
      </c>
      <c r="F14" s="114" t="n"/>
    </row>
    <row r="15" ht="30" customHeight="1">
      <c r="A15" s="112" t="n">
        <v>5</v>
      </c>
      <c r="B15" s="113" t="inlineStr">
        <is>
          <t>Rig up pressure control equipment; pressure test the PCE stack per the Surface Rig-Up sheet line test - low pressure then high pressure holds against the program test values.</t>
        </is>
      </c>
      <c r="C15" s="110" t="n"/>
      <c r="D15" s="110" t="n"/>
      <c r="E15" s="37" t="n">
        <v>4</v>
      </c>
      <c r="F15" s="114" t="n"/>
    </row>
    <row r="17" ht="20" customHeight="1">
      <c r="A17" s="23" t="inlineStr">
        <is>
          <t>B. Kill / Pressure Control (if required)</t>
        </is>
      </c>
      <c r="B17" s="24" t="n"/>
      <c r="C17" s="24" t="n"/>
      <c r="D17" s="24" t="n"/>
      <c r="E17" s="24" t="n"/>
      <c r="F17" s="24" t="n"/>
    </row>
    <row r="18" ht="30" customHeight="1">
      <c r="A18" s="112" t="n">
        <v>6</v>
      </c>
      <c r="B18" s="113">
        <f>"If a kill is required: bullhead kill fluid per the Well Kill - Interventions sheet - density to balance "&amp;TEXT(WD_ResP,"#,##0")&amp;" psi at "&amp;TEXT(WD_PerfTVD,"#,##0")&amp;" ft TVD plus overbalance per program."</f>
        <v/>
      </c>
      <c r="C18" s="110" t="n"/>
      <c r="D18" s="110" t="n"/>
      <c r="E18" s="37" t="n">
        <v>6</v>
      </c>
      <c r="F18" s="114" t="n"/>
    </row>
    <row r="19" ht="30" customHeight="1">
      <c r="A19" s="112" t="n">
        <v>7</v>
      </c>
      <c r="B19" s="113">
        <f>"Do not exceed the formation fracture limit while bullheading - fracture gradient "&amp;TEXT(WD_FracGrad,"0.000")&amp;" psi/ft at the perforations; stage rates accordingly."</f>
        <v/>
      </c>
      <c r="C19" s="110" t="n"/>
      <c r="D19" s="110" t="n"/>
      <c r="E19" s="37" t="n"/>
      <c r="F19" s="114" t="n"/>
    </row>
    <row r="20" ht="30" customHeight="1">
      <c r="A20" s="112" t="n">
        <v>8</v>
      </c>
      <c r="B20" s="113" t="inlineStr">
        <is>
          <t>Alternatively lubricate and bleed in stages; record injected volumes and bled pressures each cycle.</t>
        </is>
      </c>
      <c r="C20" s="110" t="n"/>
      <c r="D20" s="110" t="n"/>
      <c r="E20" s="37" t="n"/>
      <c r="F20" s="114" t="n"/>
    </row>
    <row r="21" ht="30" customHeight="1">
      <c r="A21" s="112" t="n">
        <v>9</v>
      </c>
      <c r="B21" s="113" t="inlineStr">
        <is>
          <t>Confirm the well is dead / stable; observe for the minimum period per program before breaking containment.</t>
        </is>
      </c>
      <c r="C21" s="110" t="n"/>
      <c r="D21" s="110" t="n"/>
      <c r="E21" s="37" t="n">
        <v>2</v>
      </c>
      <c r="F21" s="114" t="n"/>
    </row>
    <row r="23" ht="20" customHeight="1">
      <c r="A23" s="23" t="inlineStr">
        <is>
          <t>C. Intervention Execution</t>
        </is>
      </c>
      <c r="B23" s="24" t="n"/>
      <c r="C23" s="24" t="n"/>
      <c r="D23" s="24" t="n"/>
      <c r="E23" s="24" t="n"/>
      <c r="F23" s="24" t="n"/>
    </row>
    <row r="24" ht="30" customHeight="1">
      <c r="A24" s="112" t="n">
        <v>10</v>
      </c>
      <c r="B24" s="113" t="inlineStr">
        <is>
          <t>Verify stem weight is sufficient against wellhead pressure per the Wireline sheet stem / fall-back check before opening the well to run in.</t>
        </is>
      </c>
      <c r="C24" s="110" t="n"/>
      <c r="D24" s="110" t="n"/>
      <c r="E24" s="37" t="n">
        <v>1</v>
      </c>
      <c r="F24" s="114" t="n"/>
    </row>
    <row r="25" ht="30" customHeight="1">
      <c r="A25" s="112" t="n">
        <v>11</v>
      </c>
      <c r="B25" s="113" t="inlineStr">
        <is>
          <t>RIH with the toolstring observing speed limits per the Wireline and Trip Speed sheets; slow through restrictions, known profiles and across fluid interfaces.</t>
        </is>
      </c>
      <c r="C25" s="110" t="n"/>
      <c r="D25" s="110" t="n"/>
      <c r="E25" s="37" t="n">
        <v>4</v>
      </c>
      <c r="F25" s="114" t="n"/>
    </row>
    <row r="26" ht="30" customHeight="1">
      <c r="A26" s="112" t="n">
        <v>12</v>
      </c>
      <c r="B26" s="113">
        <f>"Tag and correlate depth - reference the tally to "&amp;TEXT(WD_MD,"#,##0")&amp;" ft MD; adjust for stretch per the Wireline sheet before any setting or firing operation."</f>
        <v/>
      </c>
      <c r="C26" s="110" t="n"/>
      <c r="D26" s="110" t="n"/>
      <c r="E26" s="37" t="n">
        <v>2</v>
      </c>
      <c r="F26" s="114" t="n"/>
    </row>
    <row r="27" ht="30" customHeight="1">
      <c r="A27" s="112" t="n">
        <v>13</v>
      </c>
      <c r="B27" s="113" t="inlineStr">
        <is>
          <t>Perform the programmed task (set / pull plug, shift sleeve, bail, perforate, log); record all weights, depths and times.</t>
        </is>
      </c>
      <c r="C27" s="110" t="n"/>
      <c r="D27" s="110" t="n"/>
      <c r="E27" s="37" t="n">
        <v>6</v>
      </c>
      <c r="F27" s="114" t="n"/>
    </row>
    <row r="28" ht="30" customHeight="1">
      <c r="A28" s="112" t="n">
        <v>14</v>
      </c>
      <c r="B28" s="113" t="inlineStr">
        <is>
          <t>Confirm tool function / result before pulling out (pressure response, mechanical indicator or gauge run as applicable).</t>
        </is>
      </c>
      <c r="C28" s="110" t="n"/>
      <c r="D28" s="110" t="n"/>
      <c r="E28" s="37" t="n">
        <v>2</v>
      </c>
      <c r="F28" s="114" t="n"/>
    </row>
    <row r="30" ht="20" customHeight="1">
      <c r="A30" s="23" t="inlineStr">
        <is>
          <t>D. Return to Production</t>
        </is>
      </c>
      <c r="B30" s="24" t="n"/>
      <c r="C30" s="24" t="n"/>
      <c r="D30" s="24" t="n"/>
      <c r="E30" s="24" t="n"/>
      <c r="F30" s="24" t="n"/>
    </row>
    <row r="31" ht="30" customHeight="1">
      <c r="A31" s="112" t="n">
        <v>15</v>
      </c>
      <c r="B31" s="113" t="inlineStr">
        <is>
          <t>Pull out of hole staging at the speed limits; slow through the lubricator entry and all restrictions.</t>
        </is>
      </c>
      <c r="C31" s="110" t="n"/>
      <c r="D31" s="110" t="n"/>
      <c r="E31" s="37" t="n">
        <v>4</v>
      </c>
      <c r="F31" s="114" t="n"/>
    </row>
    <row r="32" ht="30" customHeight="1">
      <c r="A32" s="112" t="n">
        <v>16</v>
      </c>
      <c r="B32" s="113" t="inlineStr">
        <is>
          <t>Close and test barriers in reverse order; verify each barrier before removing the next containment element.</t>
        </is>
      </c>
      <c r="C32" s="110" t="n"/>
      <c r="D32" s="110" t="n"/>
      <c r="E32" s="37" t="n">
        <v>3</v>
      </c>
      <c r="F32" s="114" t="n"/>
    </row>
    <row r="33" ht="30" customHeight="1">
      <c r="A33" s="112" t="n">
        <v>17</v>
      </c>
      <c r="B33" s="113" t="inlineStr">
        <is>
          <t>Function test the TRSV; confirm closure and inflow test against acceptance criteria.</t>
        </is>
      </c>
      <c r="C33" s="110" t="n"/>
      <c r="D33" s="110" t="n"/>
      <c r="E33" s="37" t="n">
        <v>2</v>
      </c>
      <c r="F33" s="114" t="n"/>
    </row>
    <row r="34" ht="30" customHeight="1">
      <c r="A34" s="112" t="n">
        <v>18</v>
      </c>
      <c r="B34" s="113" t="inlineStr">
        <is>
          <t>Rig down PCE; restore the tree and pressure test every connection that was broken.</t>
        </is>
      </c>
      <c r="C34" s="110" t="n"/>
      <c r="D34" s="110" t="n"/>
      <c r="E34" s="37" t="n">
        <v>4</v>
      </c>
      <c r="F34" s="114" t="n"/>
    </row>
    <row r="35" ht="30" customHeight="1">
      <c r="A35" s="112" t="n">
        <v>19</v>
      </c>
      <c r="B35" s="113" t="inlineStr">
        <is>
          <t>Unload / bring the well back on line per the program choke schedule; monitor for sand and solids during clean-up.</t>
        </is>
      </c>
      <c r="C35" s="110" t="n"/>
      <c r="D35" s="110" t="n"/>
      <c r="E35" s="37" t="n">
        <v>6</v>
      </c>
      <c r="F35" s="114" t="n"/>
    </row>
    <row r="36" ht="30" customHeight="1">
      <c r="A36" s="112" t="n">
        <v>20</v>
      </c>
      <c r="B36" s="113" t="inlineStr">
        <is>
          <t>Monitor well and annulus pressures for 24 hours; hand over with the job report, tallies and barrier verification records.</t>
        </is>
      </c>
      <c r="C36" s="110" t="n"/>
      <c r="D36" s="110" t="n"/>
      <c r="E36" s="37" t="n"/>
      <c r="F36" s="114" t="n"/>
    </row>
    <row r="38" ht="20" customHeight="1">
      <c r="A38" s="8" t="inlineStr">
        <is>
          <t>Prepared by (engineer):  ____________________________</t>
        </is>
      </c>
      <c r="E38" s="8" t="inlineStr">
        <is>
          <t>Date: ______________</t>
        </is>
      </c>
    </row>
    <row r="39" ht="20" customHeight="1">
      <c r="A39" s="8" t="inlineStr">
        <is>
          <t>Reviewed by (supervisor):  ____________________________</t>
        </is>
      </c>
      <c r="E39" s="8" t="inlineStr">
        <is>
          <t>Date: ______________</t>
        </is>
      </c>
    </row>
    <row r="40" ht="20" customHeight="1">
      <c r="A40" s="8" t="inlineStr">
        <is>
          <t>Approved by (operations superintendent):  ____________________________</t>
        </is>
      </c>
      <c r="E40" s="8" t="inlineStr">
        <is>
          <t>Date: ______________</t>
        </is>
      </c>
    </row>
    <row r="42">
      <c r="A42" s="115" t="inlineStr">
        <is>
          <t>Rev 0 - template issue. Record revisions and MOC references here before execution.</t>
        </is>
      </c>
      <c r="B42" s="110" t="n"/>
      <c r="C42" s="110" t="n"/>
      <c r="D42" s="110" t="n"/>
      <c r="E42" s="110" t="n"/>
      <c r="F42" s="110" t="n"/>
    </row>
    <row r="43">
      <c r="A43" s="27" t="inlineStr">
        <is>
          <t>Template procedure - review and edit every step against the program, permits and MOC before use.</t>
        </is>
      </c>
    </row>
  </sheetData>
  <sheetProtection selectLockedCells="0" selectUnlockedCells="0" sheet="1" objects="0" insertRows="1" insertHyperlinks="1" autoFilter="1" scenarios="0" formatColumns="0" deleteColumns="1" insertColumns="1" pivotTables="1" deleteRows="1" formatCells="1" formatRows="0" sort="1"/>
  <mergeCells count="42">
    <mergeCell ref="B11:D11"/>
    <mergeCell ref="B14:D14"/>
    <mergeCell ref="B7:C7"/>
    <mergeCell ref="A38:D38"/>
    <mergeCell ref="E5:F5"/>
    <mergeCell ref="B13:D13"/>
    <mergeCell ref="E39:F39"/>
    <mergeCell ref="B34:D34"/>
    <mergeCell ref="A2:F2"/>
    <mergeCell ref="B28:D28"/>
    <mergeCell ref="A40:D40"/>
    <mergeCell ref="B19:D19"/>
    <mergeCell ref="E38:F38"/>
    <mergeCell ref="A42:F42"/>
    <mergeCell ref="A23:F23"/>
    <mergeCell ref="A39:D39"/>
    <mergeCell ref="A8:F8"/>
    <mergeCell ref="A17:F17"/>
    <mergeCell ref="B15:D15"/>
    <mergeCell ref="E40:F40"/>
    <mergeCell ref="B24:D24"/>
    <mergeCell ref="B20:D20"/>
    <mergeCell ref="A43:F43"/>
    <mergeCell ref="B33:D33"/>
    <mergeCell ref="E6:F6"/>
    <mergeCell ref="A10:F10"/>
    <mergeCell ref="B36:D36"/>
    <mergeCell ref="B32:D32"/>
    <mergeCell ref="B4:D4"/>
    <mergeCell ref="B35:D35"/>
    <mergeCell ref="B26:D26"/>
    <mergeCell ref="A30:F30"/>
    <mergeCell ref="B25:D25"/>
    <mergeCell ref="B6:C6"/>
    <mergeCell ref="B31:D31"/>
    <mergeCell ref="E7:F7"/>
    <mergeCell ref="B5:C5"/>
    <mergeCell ref="A1:F1"/>
    <mergeCell ref="B18:D18"/>
    <mergeCell ref="B27:D27"/>
    <mergeCell ref="B21:D21"/>
    <mergeCell ref="B12:D12"/>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pageSetup orientation="portrait" fitToHeight="0" fitToWidth="1"/>
</worksheet>
</file>

<file path=xl/worksheets/sheet46.xml><?xml version="1.0" encoding="utf-8"?>
<worksheet xmlns="http://schemas.openxmlformats.org/spreadsheetml/2006/main">
  <sheetPr>
    <tabColor rgb="00808080"/>
    <outlinePr summaryBelow="1" summaryRight="1"/>
    <pageSetUpPr/>
  </sheetPr>
  <dimension ref="A1:J79"/>
  <sheetViews>
    <sheetView workbookViewId="0">
      <pane ySplit="4" topLeftCell="A5" activePane="bottomLeft" state="frozen"/>
      <selection pane="bottomLeft" activeCell="A1" sqref="A1"/>
    </sheetView>
  </sheetViews>
  <sheetFormatPr baseColWidth="8" defaultRowHeight="15"/>
  <cols>
    <col width="42" customWidth="1" min="1" max="1"/>
    <col width="14" customWidth="1" min="2" max="2"/>
    <col width="11" customWidth="1" min="3" max="3"/>
    <col width="14" customWidth="1" min="4" max="4"/>
    <col width="11" customWidth="1" min="5" max="5"/>
    <col width="78" customWidth="1" min="6" max="6"/>
    <col width="4"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ht="26" customHeight="1">
      <c r="A1" s="19" t="inlineStr">
        <is>
          <t>Wellbore Schematic Creator</t>
        </is>
      </c>
      <c r="B1" s="2" t="n"/>
      <c r="C1" s="2" t="n"/>
      <c r="D1" s="2" t="n"/>
      <c r="E1" s="2" t="n"/>
      <c r="F1" s="2" t="n"/>
    </row>
    <row r="2">
      <c r="A2" s="20" t="inlineStr">
        <is>
          <t>Enter casing, tubing, packer and perf depths (yellow) - the schematic chart draws itself to scale. Depths in MD; deviated wells draw unwrapped.</t>
        </is>
      </c>
      <c r="B2" s="2" t="n"/>
      <c r="C2" s="2" t="n"/>
      <c r="D2" s="2" t="n"/>
      <c r="E2" s="2" t="n"/>
      <c r="F2" s="2" t="n"/>
    </row>
    <row r="4">
      <c r="A4" s="21" t="inlineStr">
        <is>
          <t>Parameter</t>
        </is>
      </c>
      <c r="B4" s="22" t="inlineStr">
        <is>
          <t>Value</t>
        </is>
      </c>
      <c r="C4" s="21" t="inlineStr">
        <is>
          <t>Unit</t>
        </is>
      </c>
      <c r="D4" s="22" t="inlineStr">
        <is>
          <t>SI Value</t>
        </is>
      </c>
      <c r="E4" s="21" t="inlineStr">
        <is>
          <t>SI Unit</t>
        </is>
      </c>
      <c r="F4" s="21" t="inlineStr">
        <is>
          <t>Notes / Equation</t>
        </is>
      </c>
      <c r="H4" s="9" t="inlineStr">
        <is>
          <t>chart helpers - do not edit</t>
        </is>
      </c>
    </row>
    <row r="5">
      <c r="I5">
        <f>IF($B$8="",NA(),-$B$8/2)</f>
        <v/>
      </c>
      <c r="J5">
        <f>IF($B$8="",NA(),$D$8)</f>
        <v/>
      </c>
    </row>
    <row r="6" ht="20" customHeight="1">
      <c r="A6" s="23" t="inlineStr">
        <is>
          <t>Casing Strings (up to 6; leave unused rows blank)</t>
        </is>
      </c>
      <c r="B6" s="24" t="n"/>
      <c r="C6" s="24" t="n"/>
      <c r="D6" s="24" t="n"/>
      <c r="E6" s="24" t="n"/>
      <c r="F6" s="24" t="n"/>
      <c r="I6">
        <f>IF($B$8="",NA(),-$B$8/2)</f>
        <v/>
      </c>
      <c r="J6">
        <f>IF($B$8="",NA(),$E$8)</f>
        <v/>
      </c>
    </row>
    <row r="7">
      <c r="A7" s="66" t="inlineStr">
        <is>
          <t>String</t>
        </is>
      </c>
      <c r="B7" s="67" t="inlineStr">
        <is>
          <t>OD (in)</t>
        </is>
      </c>
      <c r="C7" s="67" t="inlineStr">
        <is>
          <t>Weight (lb/ft)</t>
        </is>
      </c>
      <c r="D7" s="67" t="inlineStr">
        <is>
          <t>Top MD (ft)</t>
        </is>
      </c>
      <c r="E7" s="67" t="inlineStr">
        <is>
          <t>Shoe MD (ft)</t>
        </is>
      </c>
      <c r="I7">
        <f>NA()</f>
        <v/>
      </c>
      <c r="J7">
        <f>NA()</f>
        <v/>
      </c>
    </row>
    <row r="8">
      <c r="A8" s="68" t="inlineStr">
        <is>
          <t>Conductor 20in</t>
        </is>
      </c>
      <c r="B8" s="33" t="n">
        <v>20</v>
      </c>
      <c r="C8" s="41" t="n">
        <v>94</v>
      </c>
      <c r="D8" s="31" t="n">
        <v>0</v>
      </c>
      <c r="E8" s="31" t="n">
        <v>120</v>
      </c>
      <c r="I8">
        <f>IF($B$8="",NA(),$B$8/2)</f>
        <v/>
      </c>
      <c r="J8">
        <f>IF($B$8="",NA(),$D$8)</f>
        <v/>
      </c>
    </row>
    <row r="9">
      <c r="A9" s="68" t="inlineStr">
        <is>
          <t>Surface 13-3/8in</t>
        </is>
      </c>
      <c r="B9" s="33" t="n">
        <v>13.375</v>
      </c>
      <c r="C9" s="41" t="n">
        <v>68</v>
      </c>
      <c r="D9" s="31" t="n">
        <v>0</v>
      </c>
      <c r="E9" s="31" t="n">
        <v>1500</v>
      </c>
      <c r="I9">
        <f>IF($B$8="",NA(),$B$8/2)</f>
        <v/>
      </c>
      <c r="J9">
        <f>IF($B$8="",NA(),$E$8)</f>
        <v/>
      </c>
    </row>
    <row r="10">
      <c r="A10" s="68" t="inlineStr">
        <is>
          <t>Intermediate 9-5/8in 47#</t>
        </is>
      </c>
      <c r="B10" s="33" t="n">
        <v>9.625</v>
      </c>
      <c r="C10" s="41" t="n">
        <v>47</v>
      </c>
      <c r="D10" s="31" t="n">
        <v>0</v>
      </c>
      <c r="E10" s="31" t="n">
        <v>5900</v>
      </c>
      <c r="I10">
        <f>NA()</f>
        <v/>
      </c>
      <c r="J10">
        <f>NA()</f>
        <v/>
      </c>
    </row>
    <row r="11">
      <c r="A11" s="68" t="inlineStr">
        <is>
          <t>Production liner 5-1/2in 17#</t>
        </is>
      </c>
      <c r="B11" s="33" t="n">
        <v>5.5</v>
      </c>
      <c r="C11" s="41" t="n">
        <v>17</v>
      </c>
      <c r="D11" s="31" t="n">
        <v>5600</v>
      </c>
      <c r="E11" s="31" t="n">
        <v>10450</v>
      </c>
      <c r="I11">
        <f>IF($B$9="",NA(),-$B$9/2)</f>
        <v/>
      </c>
      <c r="J11">
        <f>IF($B$9="",NA(),$D$9)</f>
        <v/>
      </c>
    </row>
    <row r="12">
      <c r="A12" s="68" t="inlineStr"/>
      <c r="B12" s="33" t="n"/>
      <c r="C12" s="41" t="n"/>
      <c r="D12" s="31" t="n"/>
      <c r="E12" s="31" t="n"/>
      <c r="I12">
        <f>IF($B$9="",NA(),-$B$9/2)</f>
        <v/>
      </c>
      <c r="J12">
        <f>IF($B$9="",NA(),$E$9)</f>
        <v/>
      </c>
    </row>
    <row r="13">
      <c r="A13" s="68" t="inlineStr"/>
      <c r="B13" s="33" t="n"/>
      <c r="C13" s="41" t="n"/>
      <c r="D13" s="31" t="n"/>
      <c r="E13" s="31" t="n"/>
      <c r="I13">
        <f>NA()</f>
        <v/>
      </c>
      <c r="J13">
        <f>NA()</f>
        <v/>
      </c>
    </row>
    <row r="14">
      <c r="I14">
        <f>IF($B$9="",NA(),$B$9/2)</f>
        <v/>
      </c>
      <c r="J14">
        <f>IF($B$9="",NA(),$D$9)</f>
        <v/>
      </c>
    </row>
    <row r="15" ht="20" customHeight="1">
      <c r="A15" s="23" t="inlineStr">
        <is>
          <t>Completion &amp; Wellbore Items</t>
        </is>
      </c>
      <c r="B15" s="24" t="n"/>
      <c r="C15" s="24" t="n"/>
      <c r="D15" s="24" t="n"/>
      <c r="E15" s="24" t="n"/>
      <c r="F15" s="24" t="n"/>
      <c r="H15" s="9" t="inlineStr">
        <is>
          <t>Chart symbols: dark lines = casing, green = tubing, triangles = shoes, square pair = packer, diamonds = TRSV, dashes = perfs, x = PBTD.</t>
        </is>
      </c>
      <c r="I15">
        <f>IF($B$9="",NA(),$B$9/2)</f>
        <v/>
      </c>
      <c r="J15">
        <f>IF($B$9="",NA(),$E$9)</f>
        <v/>
      </c>
    </row>
    <row r="16">
      <c r="I16">
        <f>NA()</f>
        <v/>
      </c>
      <c r="J16">
        <f>NA()</f>
        <v/>
      </c>
    </row>
    <row r="17">
      <c r="A17" s="25" t="inlineStr">
        <is>
          <t>Tubing</t>
        </is>
      </c>
      <c r="B17" s="26" t="n"/>
      <c r="C17" s="26" t="n"/>
      <c r="D17" s="26" t="n"/>
      <c r="E17" s="26" t="n"/>
      <c r="F17" s="26" t="n"/>
      <c r="I17">
        <f>IF($B$10="",NA(),-$B$10/2)</f>
        <v/>
      </c>
      <c r="J17">
        <f>IF($B$10="",NA(),$D$10)</f>
        <v/>
      </c>
    </row>
    <row r="18">
      <c r="A18" s="28" t="inlineStr">
        <is>
          <t>Tubing OD</t>
        </is>
      </c>
      <c r="B18" s="33" t="n">
        <v>3.5</v>
      </c>
      <c r="C18" s="30" t="inlineStr">
        <is>
          <t>in</t>
        </is>
      </c>
      <c r="D18" s="34">
        <f>IFERROR($B$18*25.4,NA())</f>
        <v/>
      </c>
      <c r="E18" s="30" t="inlineStr">
        <is>
          <t>mm</t>
        </is>
      </c>
      <c r="I18">
        <f>IF($B$10="",NA(),-$B$10/2)</f>
        <v/>
      </c>
      <c r="J18">
        <f>IF($B$10="",NA(),$E$10)</f>
        <v/>
      </c>
    </row>
    <row r="19">
      <c r="A19" s="28" t="inlineStr">
        <is>
          <t>Tubing top MD</t>
        </is>
      </c>
      <c r="B19" s="31" t="n">
        <v>0</v>
      </c>
      <c r="C19" s="30" t="inlineStr">
        <is>
          <t>ft</t>
        </is>
      </c>
      <c r="D19" s="32">
        <f>IFERROR($B$19*0.3048,NA())</f>
        <v/>
      </c>
      <c r="E19" s="30" t="inlineStr">
        <is>
          <t>m</t>
        </is>
      </c>
      <c r="I19">
        <f>NA()</f>
        <v/>
      </c>
      <c r="J19">
        <f>NA()</f>
        <v/>
      </c>
    </row>
    <row r="20">
      <c r="A20" s="28" t="inlineStr">
        <is>
          <t>Tubing bottom MD (packer/seal depth)</t>
        </is>
      </c>
      <c r="B20" s="31" t="n">
        <v>5480</v>
      </c>
      <c r="C20" s="30" t="inlineStr">
        <is>
          <t>ft</t>
        </is>
      </c>
      <c r="D20" s="32">
        <f>IFERROR($B$20*0.3048,NA())</f>
        <v/>
      </c>
      <c r="E20" s="30" t="inlineStr">
        <is>
          <t>m</t>
        </is>
      </c>
      <c r="I20">
        <f>IF($B$10="",NA(),$B$10/2)</f>
        <v/>
      </c>
      <c r="J20">
        <f>IF($B$10="",NA(),$D$10)</f>
        <v/>
      </c>
    </row>
    <row r="21">
      <c r="I21">
        <f>IF($B$10="",NA(),$B$10/2)</f>
        <v/>
      </c>
      <c r="J21">
        <f>IF($B$10="",NA(),$E$10)</f>
        <v/>
      </c>
    </row>
    <row r="22">
      <c r="A22" s="25" t="inlineStr">
        <is>
          <t>Packer &amp; TRSV</t>
        </is>
      </c>
      <c r="B22" s="26" t="n"/>
      <c r="C22" s="26" t="n"/>
      <c r="D22" s="26" t="n"/>
      <c r="E22" s="26" t="n"/>
      <c r="F22" s="26" t="n"/>
      <c r="I22">
        <f>NA()</f>
        <v/>
      </c>
      <c r="J22">
        <f>NA()</f>
        <v/>
      </c>
    </row>
    <row r="23">
      <c r="A23" s="28" t="inlineStr">
        <is>
          <t>Packer OD (gauge)</t>
        </is>
      </c>
      <c r="B23" s="33" t="n">
        <v>8</v>
      </c>
      <c r="C23" s="30" t="inlineStr">
        <is>
          <t>in</t>
        </is>
      </c>
      <c r="D23" s="34">
        <f>IFERROR($B$23*25.4,NA())</f>
        <v/>
      </c>
      <c r="E23" s="30" t="inlineStr">
        <is>
          <t>mm</t>
        </is>
      </c>
      <c r="I23">
        <f>IF($B$11="",NA(),-$B$11/2)</f>
        <v/>
      </c>
      <c r="J23">
        <f>IF($B$11="",NA(),$D$11)</f>
        <v/>
      </c>
    </row>
    <row r="24">
      <c r="A24" s="28" t="inlineStr">
        <is>
          <t>Packer depth MD</t>
        </is>
      </c>
      <c r="B24" s="31" t="n">
        <v>5480</v>
      </c>
      <c r="C24" s="30" t="inlineStr">
        <is>
          <t>ft</t>
        </is>
      </c>
      <c r="D24" s="32">
        <f>IFERROR($B$24*0.3048,NA())</f>
        <v/>
      </c>
      <c r="E24" s="30" t="inlineStr">
        <is>
          <t>m</t>
        </is>
      </c>
      <c r="I24">
        <f>IF($B$11="",NA(),-$B$11/2)</f>
        <v/>
      </c>
      <c r="J24">
        <f>IF($B$11="",NA(),$E$11)</f>
        <v/>
      </c>
    </row>
    <row r="25">
      <c r="A25" s="28" t="inlineStr">
        <is>
          <t>TRSV depth MD</t>
        </is>
      </c>
      <c r="B25" s="31" t="n">
        <v>1500</v>
      </c>
      <c r="C25" s="30" t="inlineStr">
        <is>
          <t>ft</t>
        </is>
      </c>
      <c r="D25" s="32">
        <f>IFERROR($B$25*0.3048,NA())</f>
        <v/>
      </c>
      <c r="E25" s="30" t="inlineStr">
        <is>
          <t>m</t>
        </is>
      </c>
      <c r="I25">
        <f>NA()</f>
        <v/>
      </c>
      <c r="J25">
        <f>NA()</f>
        <v/>
      </c>
    </row>
    <row r="26">
      <c r="I26">
        <f>IF($B$11="",NA(),$B$11/2)</f>
        <v/>
      </c>
      <c r="J26">
        <f>IF($B$11="",NA(),$D$11)</f>
        <v/>
      </c>
    </row>
    <row r="27">
      <c r="A27" s="25" t="inlineStr">
        <is>
          <t>Perforations &amp; PBTD</t>
        </is>
      </c>
      <c r="B27" s="26" t="n"/>
      <c r="C27" s="26" t="n"/>
      <c r="D27" s="26" t="n"/>
      <c r="E27" s="26" t="n"/>
      <c r="F27" s="26" t="n"/>
      <c r="I27">
        <f>IF($B$11="",NA(),$B$11/2)</f>
        <v/>
      </c>
      <c r="J27">
        <f>IF($B$11="",NA(),$E$11)</f>
        <v/>
      </c>
    </row>
    <row r="28">
      <c r="A28" s="28" t="inlineStr">
        <is>
          <t>Perf top MD</t>
        </is>
      </c>
      <c r="B28" s="31" t="n">
        <v>5950</v>
      </c>
      <c r="C28" s="30" t="inlineStr">
        <is>
          <t>ft</t>
        </is>
      </c>
      <c r="D28" s="32">
        <f>IFERROR($B$28*0.3048,NA())</f>
        <v/>
      </c>
      <c r="E28" s="30" t="inlineStr">
        <is>
          <t>m</t>
        </is>
      </c>
      <c r="I28">
        <f>NA()</f>
        <v/>
      </c>
      <c r="J28">
        <f>NA()</f>
        <v/>
      </c>
    </row>
    <row r="29">
      <c r="A29" s="28" t="inlineStr">
        <is>
          <t>Perf bottom MD</t>
        </is>
      </c>
      <c r="B29" s="31" t="n">
        <v>10400</v>
      </c>
      <c r="C29" s="30" t="inlineStr">
        <is>
          <t>ft</t>
        </is>
      </c>
      <c r="D29" s="32">
        <f>IFERROR($B$29*0.3048,NA())</f>
        <v/>
      </c>
      <c r="E29" s="30" t="inlineStr">
        <is>
          <t>m</t>
        </is>
      </c>
      <c r="I29">
        <f>IF($B$12="",NA(),-$B$12/2)</f>
        <v/>
      </c>
      <c r="J29">
        <f>IF($B$12="",NA(),$D$12)</f>
        <v/>
      </c>
    </row>
    <row r="30">
      <c r="A30" s="28" t="inlineStr">
        <is>
          <t>Perf interval casing OD</t>
        </is>
      </c>
      <c r="B30" s="33" t="n">
        <v>5.5</v>
      </c>
      <c r="C30" s="30" t="inlineStr">
        <is>
          <t>in</t>
        </is>
      </c>
      <c r="D30" s="34">
        <f>IFERROR($B$30*25.4,NA())</f>
        <v/>
      </c>
      <c r="E30" s="30" t="inlineStr">
        <is>
          <t>mm</t>
        </is>
      </c>
      <c r="I30">
        <f>IF($B$12="",NA(),-$B$12/2)</f>
        <v/>
      </c>
      <c r="J30">
        <f>IF($B$12="",NA(),$E$12)</f>
        <v/>
      </c>
    </row>
    <row r="31">
      <c r="A31" s="28" t="inlineStr">
        <is>
          <t>PBTD / TD MD</t>
        </is>
      </c>
      <c r="B31" s="31" t="n">
        <v>10450</v>
      </c>
      <c r="C31" s="30" t="inlineStr">
        <is>
          <t>ft</t>
        </is>
      </c>
      <c r="D31" s="32">
        <f>IFERROR($B$31*0.3048,NA())</f>
        <v/>
      </c>
      <c r="E31" s="30" t="inlineStr">
        <is>
          <t>m</t>
        </is>
      </c>
      <c r="I31">
        <f>NA()</f>
        <v/>
      </c>
      <c r="J31">
        <f>NA()</f>
        <v/>
      </c>
    </row>
    <row r="32">
      <c r="I32">
        <f>IF($B$12="",NA(),$B$12/2)</f>
        <v/>
      </c>
      <c r="J32">
        <f>IF($B$12="",NA(),$D$12)</f>
        <v/>
      </c>
    </row>
    <row r="33">
      <c r="A33" s="25" t="inlineStr">
        <is>
          <t>Summary</t>
        </is>
      </c>
      <c r="B33" s="26" t="n"/>
      <c r="C33" s="26" t="n"/>
      <c r="D33" s="26" t="n"/>
      <c r="E33" s="26" t="n"/>
      <c r="F33" s="26" t="n"/>
      <c r="I33">
        <f>IF($B$12="",NA(),$B$12/2)</f>
        <v/>
      </c>
      <c r="J33">
        <f>IF($B$12="",NA(),$E$12)</f>
        <v/>
      </c>
    </row>
    <row r="34">
      <c r="A34" s="28" t="inlineStr">
        <is>
          <t>Deepest shoe</t>
        </is>
      </c>
      <c r="B34" s="59">
        <f>MAX($E$8:$E$13)</f>
        <v/>
      </c>
      <c r="C34" s="30" t="inlineStr">
        <is>
          <t>ft</t>
        </is>
      </c>
      <c r="D34" s="32">
        <f>IFERROR($B$34*0.3048,NA())</f>
        <v/>
      </c>
      <c r="E34" s="30" t="inlineStr">
        <is>
          <t>m</t>
        </is>
      </c>
      <c r="I34">
        <f>NA()</f>
        <v/>
      </c>
      <c r="J34">
        <f>NA()</f>
        <v/>
      </c>
    </row>
    <row r="35">
      <c r="A35" s="28" t="inlineStr">
        <is>
          <t>Strings entered</t>
        </is>
      </c>
      <c r="B35" s="101">
        <f>COUNT($B$8:$B$13)</f>
        <v/>
      </c>
      <c r="C35" s="30" t="inlineStr"/>
      <c r="I35">
        <f>IF($B$13="",NA(),-$B$13/2)</f>
        <v/>
      </c>
      <c r="J35">
        <f>IF($B$13="",NA(),$D$13)</f>
        <v/>
      </c>
    </row>
    <row r="36">
      <c r="A36" s="27" t="inlineStr"/>
      <c r="F36" s="27" t="inlineStr">
        <is>
          <t>Chart at right redraws automatically. Depths are MD - a horizontal lateral shows as continued depth; annotate the KOP on the printout if needed.</t>
        </is>
      </c>
      <c r="I36">
        <f>IF($B$13="",NA(),-$B$13/2)</f>
        <v/>
      </c>
      <c r="J36">
        <f>IF($B$13="",NA(),$E$13)</f>
        <v/>
      </c>
    </row>
    <row r="37">
      <c r="I37">
        <f>NA()</f>
        <v/>
      </c>
      <c r="J37">
        <f>NA()</f>
        <v/>
      </c>
    </row>
    <row r="38">
      <c r="I38">
        <f>IF($B$13="",NA(),$B$13/2)</f>
        <v/>
      </c>
      <c r="J38">
        <f>IF($B$13="",NA(),$D$13)</f>
        <v/>
      </c>
    </row>
    <row r="39">
      <c r="I39">
        <f>IF($B$13="",NA(),$B$13/2)</f>
        <v/>
      </c>
      <c r="J39">
        <f>IF($B$13="",NA(),$E$13)</f>
        <v/>
      </c>
    </row>
    <row r="40">
      <c r="I40">
        <f>NA()</f>
        <v/>
      </c>
      <c r="J40">
        <f>NA()</f>
        <v/>
      </c>
    </row>
    <row r="41">
      <c r="I41">
        <f>IF($B$8="",NA(),-$B$8/2)</f>
        <v/>
      </c>
      <c r="J41">
        <f>IF($B$8="",NA(),$E$8)</f>
        <v/>
      </c>
    </row>
    <row r="42">
      <c r="I42">
        <f>IF($B$8="",NA(),$B$8/2)</f>
        <v/>
      </c>
      <c r="J42">
        <f>IF($B$8="",NA(),$E$8)</f>
        <v/>
      </c>
    </row>
    <row r="43">
      <c r="I43">
        <f>IF($B$9="",NA(),-$B$9/2)</f>
        <v/>
      </c>
      <c r="J43">
        <f>IF($B$9="",NA(),$E$9)</f>
        <v/>
      </c>
    </row>
    <row r="44">
      <c r="I44">
        <f>IF($B$9="",NA(),$B$9/2)</f>
        <v/>
      </c>
      <c r="J44">
        <f>IF($B$9="",NA(),$E$9)</f>
        <v/>
      </c>
    </row>
    <row r="45">
      <c r="I45">
        <f>IF($B$10="",NA(),-$B$10/2)</f>
        <v/>
      </c>
      <c r="J45">
        <f>IF($B$10="",NA(),$E$10)</f>
        <v/>
      </c>
    </row>
    <row r="46">
      <c r="I46">
        <f>IF($B$10="",NA(),$B$10/2)</f>
        <v/>
      </c>
      <c r="J46">
        <f>IF($B$10="",NA(),$E$10)</f>
        <v/>
      </c>
    </row>
    <row r="47">
      <c r="I47">
        <f>IF($B$11="",NA(),-$B$11/2)</f>
        <v/>
      </c>
      <c r="J47">
        <f>IF($B$11="",NA(),$E$11)</f>
        <v/>
      </c>
    </row>
    <row r="48">
      <c r="I48">
        <f>IF($B$11="",NA(),$B$11/2)</f>
        <v/>
      </c>
      <c r="J48">
        <f>IF($B$11="",NA(),$E$11)</f>
        <v/>
      </c>
    </row>
    <row r="49">
      <c r="I49">
        <f>IF($B$12="",NA(),-$B$12/2)</f>
        <v/>
      </c>
      <c r="J49">
        <f>IF($B$12="",NA(),$E$12)</f>
        <v/>
      </c>
    </row>
    <row r="50">
      <c r="I50">
        <f>IF($B$12="",NA(),$B$12/2)</f>
        <v/>
      </c>
      <c r="J50">
        <f>IF($B$12="",NA(),$E$12)</f>
        <v/>
      </c>
    </row>
    <row r="51">
      <c r="I51">
        <f>IF($B$13="",NA(),-$B$13/2)</f>
        <v/>
      </c>
      <c r="J51">
        <f>IF($B$13="",NA(),$E$13)</f>
        <v/>
      </c>
    </row>
    <row r="52">
      <c r="I52">
        <f>IF($B$13="",NA(),$B$13/2)</f>
        <v/>
      </c>
      <c r="J52">
        <f>IF($B$13="",NA(),$E$13)</f>
        <v/>
      </c>
    </row>
    <row r="53">
      <c r="I53">
        <f>-$B$18/2</f>
        <v/>
      </c>
      <c r="J53">
        <f>$B$19</f>
        <v/>
      </c>
    </row>
    <row r="54">
      <c r="I54">
        <f>-$B$18/2</f>
        <v/>
      </c>
      <c r="J54">
        <f>$B$20</f>
        <v/>
      </c>
    </row>
    <row r="55">
      <c r="I55">
        <f>NA()</f>
        <v/>
      </c>
      <c r="J55">
        <f>NA()</f>
        <v/>
      </c>
    </row>
    <row r="56">
      <c r="I56">
        <f>$B$18/2</f>
        <v/>
      </c>
      <c r="J56">
        <f>$B$19</f>
        <v/>
      </c>
    </row>
    <row r="57">
      <c r="I57">
        <f>$B$18/2</f>
        <v/>
      </c>
      <c r="J57">
        <f>$B$20</f>
        <v/>
      </c>
    </row>
    <row r="58">
      <c r="I58">
        <f>NA()</f>
        <v/>
      </c>
      <c r="J58">
        <f>NA()</f>
        <v/>
      </c>
    </row>
    <row r="59">
      <c r="I59">
        <f>-$B$23/2</f>
        <v/>
      </c>
      <c r="J59">
        <f>$B$24</f>
        <v/>
      </c>
    </row>
    <row r="60">
      <c r="I60">
        <f>$B$23/2</f>
        <v/>
      </c>
      <c r="J60">
        <f>$B$24</f>
        <v/>
      </c>
    </row>
    <row r="61">
      <c r="I61">
        <f>-$B$18/2-0.6</f>
        <v/>
      </c>
      <c r="J61">
        <f>$B$25</f>
        <v/>
      </c>
    </row>
    <row r="62">
      <c r="I62">
        <f>$B$18/2+0.6</f>
        <v/>
      </c>
      <c r="J62">
        <f>$B$25</f>
        <v/>
      </c>
    </row>
    <row r="63">
      <c r="I63">
        <f>0</f>
        <v/>
      </c>
      <c r="J63">
        <f>$B$31</f>
        <v/>
      </c>
    </row>
    <row r="64">
      <c r="I64">
        <f>$B$30/2</f>
        <v/>
      </c>
      <c r="J64">
        <f>$B$28+($B$29-$B$28)*0/7</f>
        <v/>
      </c>
    </row>
    <row r="65">
      <c r="I65">
        <f>$B$30/2</f>
        <v/>
      </c>
      <c r="J65">
        <f>$B$28+($B$29-$B$28)*1/7</f>
        <v/>
      </c>
    </row>
    <row r="66">
      <c r="I66">
        <f>$B$30/2</f>
        <v/>
      </c>
      <c r="J66">
        <f>$B$28+($B$29-$B$28)*2/7</f>
        <v/>
      </c>
    </row>
    <row r="67">
      <c r="I67">
        <f>$B$30/2</f>
        <v/>
      </c>
      <c r="J67">
        <f>$B$28+($B$29-$B$28)*3/7</f>
        <v/>
      </c>
    </row>
    <row r="68">
      <c r="I68">
        <f>$B$30/2</f>
        <v/>
      </c>
      <c r="J68">
        <f>$B$28+($B$29-$B$28)*4/7</f>
        <v/>
      </c>
    </row>
    <row r="69">
      <c r="I69">
        <f>$B$30/2</f>
        <v/>
      </c>
      <c r="J69">
        <f>$B$28+($B$29-$B$28)*5/7</f>
        <v/>
      </c>
    </row>
    <row r="70">
      <c r="I70">
        <f>$B$30/2</f>
        <v/>
      </c>
      <c r="J70">
        <f>$B$28+($B$29-$B$28)*6/7</f>
        <v/>
      </c>
    </row>
    <row r="71">
      <c r="I71">
        <f>$B$30/2</f>
        <v/>
      </c>
      <c r="J71">
        <f>$B$28+($B$29-$B$28)*7/7</f>
        <v/>
      </c>
    </row>
    <row r="72">
      <c r="I72">
        <f>-$B$30/2</f>
        <v/>
      </c>
      <c r="J72">
        <f>$B$28+($B$29-$B$28)*0/7</f>
        <v/>
      </c>
    </row>
    <row r="73">
      <c r="I73">
        <f>-$B$30/2</f>
        <v/>
      </c>
      <c r="J73">
        <f>$B$28+($B$29-$B$28)*1/7</f>
        <v/>
      </c>
    </row>
    <row r="74">
      <c r="I74">
        <f>-$B$30/2</f>
        <v/>
      </c>
      <c r="J74">
        <f>$B$28+($B$29-$B$28)*2/7</f>
        <v/>
      </c>
    </row>
    <row r="75">
      <c r="I75">
        <f>-$B$30/2</f>
        <v/>
      </c>
      <c r="J75">
        <f>$B$28+($B$29-$B$28)*3/7</f>
        <v/>
      </c>
    </row>
    <row r="76">
      <c r="I76">
        <f>-$B$30/2</f>
        <v/>
      </c>
      <c r="J76">
        <f>$B$28+($B$29-$B$28)*4/7</f>
        <v/>
      </c>
    </row>
    <row r="77">
      <c r="I77">
        <f>-$B$30/2</f>
        <v/>
      </c>
      <c r="J77">
        <f>$B$28+($B$29-$B$28)*5/7</f>
        <v/>
      </c>
    </row>
    <row r="78">
      <c r="I78">
        <f>-$B$30/2</f>
        <v/>
      </c>
      <c r="J78">
        <f>$B$28+($B$29-$B$28)*6/7</f>
        <v/>
      </c>
    </row>
    <row r="79">
      <c r="I79">
        <f>-$B$30/2</f>
        <v/>
      </c>
      <c r="J79">
        <f>$B$28+($B$29-$B$28)*7/7</f>
        <v/>
      </c>
    </row>
  </sheetData>
  <sheetProtection selectLockedCells="0" selectUnlockedCells="0" sheet="1" objects="0" insertRows="1" insertHyperlinks="1" autoFilter="1" scenarios="0" formatColumns="0" deleteColumns="1" insertColumns="1" pivotTables="1" deleteRows="1" formatCells="1" formatRows="0" sort="1"/>
  <mergeCells count="4">
    <mergeCell ref="A2:F2"/>
    <mergeCell ref="A6:F6"/>
    <mergeCell ref="A1:F1"/>
    <mergeCell ref="A15:F15"/>
  </mergeCells>
  <conditionalFormatting sqref="B1:B400">
    <cfRule type="expression" priority="1" dxfId="0">
      <formula>AND(ISTEXT(B1),OR(ISNUMBER(SEARCH("EXCEED",B1)),ISNUMBER(SEARCH("CHECK",B1)),ISNUMBER(SEARCH("DO NOT",B1)),ISNUMBER(SEARCH("ABOVE FRAC",B1)),ISNUMBER(SEARCH("ADD STEM",B1)),ISNUMBER(SEARCH("BUCKLING",B1)),ISNUMBER(SEARCH("INSUFFICIENT",B1)),ISNUMBER(SEARCH("BELOW MINIMUM",B1)),ISNUMBER(SEARCH("&lt;&gt; bit",B1))))</formula>
    </cfRule>
    <cfRule type="expression" priority="2" dxfId="1">
      <formula>AND(ISTEXT(B1),ISNUMBER(SEARCH("MARGINAL",B1)))</formula>
    </cfRule>
    <cfRule type="expression" priority="3" dxfId="2">
      <formula>AND(ISTEXT(B1),LEFT(B1,3)="OK ")</formula>
    </cfRule>
  </conditionalFormatting>
  <conditionalFormatting sqref="M1:M400">
    <cfRule type="expression" priority="4" dxfId="0">
      <formula>AND(ISTEXT(M1),OR(ISNUMBER(SEARCH("EXCEED",M1)),ISNUMBER(SEARCH("CHECK",M1)),ISNUMBER(SEARCH("DO NOT",M1)),ISNUMBER(SEARCH("ABOVE FRAC",M1)),ISNUMBER(SEARCH("ADD STEM",M1)),ISNUMBER(SEARCH("BUCKLING",M1)),ISNUMBER(SEARCH("INSUFFICIENT",M1)),ISNUMBER(SEARCH("BELOW MINIMUM",M1)),ISNUMBER(SEARCH("&lt;&gt; bit",M1))))</formula>
    </cfRule>
    <cfRule type="expression" priority="5" dxfId="1">
      <formula>AND(ISTEXT(M1),ISNUMBER(SEARCH("MARGINAL",M1)))</formula>
    </cfRule>
    <cfRule type="expression" priority="6" dxfId="2">
      <formula>AND(ISTEXT(M1),LEFT(M1,3)="OK ")</formula>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2026-10-23T03:22:14Z</dcterms:created>
  <dcterms:modified xsi:type="dcterms:W3CDTF">2026-10-23T03:22:14Z</dcterms:modified>
</cp:coreProperties>
</file>